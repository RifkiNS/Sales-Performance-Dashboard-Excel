
<file path=[Content_Types].xml><?xml version="1.0" encoding="utf-8"?>
<Types xmlns="http://schemas.openxmlformats.org/package/2006/content-type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24226"/>
  <mc:AlternateContent xmlns:mc="http://schemas.openxmlformats.org/markup-compatibility/2006">
    <mc:Choice Requires="x15">
      <x15ac:absPath xmlns:x15ac="http://schemas.microsoft.com/office/spreadsheetml/2010/11/ac" url="C:\Users\Hp\Downloads\"/>
    </mc:Choice>
  </mc:AlternateContent>
  <xr:revisionPtr revIDLastSave="0" documentId="13_ncr:1_{B9D0C69C-B23E-489B-AC87-2A8173E177B3}" xr6:coauthVersionLast="47" xr6:coauthVersionMax="47" xr10:uidLastSave="{00000000-0000-0000-0000-000000000000}"/>
  <bookViews>
    <workbookView xWindow="-120" yWindow="-120" windowWidth="20730" windowHeight="11760" activeTab="4" xr2:uid="{00000000-000D-0000-FFFF-FFFF00000000}"/>
  </bookViews>
  <sheets>
    <sheet name="Data_Transaksi" sheetId="1" r:id="rId1"/>
    <sheet name="Master_Produk" sheetId="2" r:id="rId2"/>
    <sheet name="Master_Target" sheetId="3" r:id="rId3"/>
    <sheet name="PivotTable" sheetId="6" r:id="rId4"/>
    <sheet name="Dashboard" sheetId="7" r:id="rId5"/>
  </sheets>
  <definedNames>
    <definedName name="Slicer_Wilayah">#N/A</definedName>
  </definedNames>
  <calcPr calcId="18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C2" i="1" l="1"/>
  <c r="F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K3" i="1"/>
  <c r="L3" i="1" s="1"/>
  <c r="K4" i="1"/>
  <c r="L4" i="1" s="1"/>
  <c r="K5" i="1"/>
  <c r="L5" i="1" s="1"/>
  <c r="K6" i="1"/>
  <c r="L6" i="1" s="1"/>
  <c r="K7" i="1"/>
  <c r="L7" i="1" s="1"/>
  <c r="K8" i="1"/>
  <c r="L8" i="1" s="1"/>
  <c r="K9" i="1"/>
  <c r="L9" i="1" s="1"/>
  <c r="K10" i="1"/>
  <c r="L10" i="1" s="1"/>
  <c r="K11" i="1"/>
  <c r="L11" i="1" s="1"/>
  <c r="K12" i="1"/>
  <c r="L12" i="1" s="1"/>
  <c r="K13" i="1"/>
  <c r="L13" i="1" s="1"/>
  <c r="K14" i="1"/>
  <c r="L14" i="1" s="1"/>
  <c r="K15" i="1"/>
  <c r="L15" i="1" s="1"/>
  <c r="K16" i="1"/>
  <c r="L16" i="1" s="1"/>
  <c r="K17" i="1"/>
  <c r="L17" i="1" s="1"/>
  <c r="K18" i="1"/>
  <c r="L18" i="1" s="1"/>
  <c r="K19" i="1"/>
  <c r="L19" i="1" s="1"/>
  <c r="K20" i="1"/>
  <c r="L20" i="1" s="1"/>
  <c r="K21" i="1"/>
  <c r="L21" i="1" s="1"/>
  <c r="K22" i="1"/>
  <c r="L22" i="1" s="1"/>
  <c r="K23" i="1"/>
  <c r="L23" i="1" s="1"/>
  <c r="K24" i="1"/>
  <c r="L24" i="1" s="1"/>
  <c r="K25" i="1"/>
  <c r="L25" i="1" s="1"/>
  <c r="K26" i="1"/>
  <c r="L26" i="1" s="1"/>
  <c r="K27" i="1"/>
  <c r="L27" i="1" s="1"/>
  <c r="K28" i="1"/>
  <c r="L28" i="1" s="1"/>
  <c r="K29" i="1"/>
  <c r="L29" i="1" s="1"/>
  <c r="K30" i="1"/>
  <c r="L30" i="1" s="1"/>
  <c r="K31" i="1"/>
  <c r="L31" i="1" s="1"/>
  <c r="K32" i="1"/>
  <c r="L32" i="1" s="1"/>
  <c r="K33" i="1"/>
  <c r="L33" i="1" s="1"/>
  <c r="K34" i="1"/>
  <c r="L34" i="1" s="1"/>
  <c r="K35" i="1"/>
  <c r="L35" i="1" s="1"/>
  <c r="K36" i="1"/>
  <c r="L36" i="1" s="1"/>
  <c r="K37" i="1"/>
  <c r="L37" i="1" s="1"/>
  <c r="K38" i="1"/>
  <c r="L38" i="1" s="1"/>
  <c r="K39" i="1"/>
  <c r="L39" i="1" s="1"/>
  <c r="K40" i="1"/>
  <c r="L40" i="1" s="1"/>
  <c r="K41" i="1"/>
  <c r="L41" i="1" s="1"/>
  <c r="K42" i="1"/>
  <c r="L42" i="1" s="1"/>
  <c r="K43" i="1"/>
  <c r="L43" i="1" s="1"/>
  <c r="K44" i="1"/>
  <c r="L44" i="1" s="1"/>
  <c r="K45" i="1"/>
  <c r="L45" i="1" s="1"/>
  <c r="K46" i="1"/>
  <c r="L46" i="1" s="1"/>
  <c r="K47" i="1"/>
  <c r="L47" i="1" s="1"/>
  <c r="K48" i="1"/>
  <c r="L48" i="1" s="1"/>
  <c r="K49" i="1"/>
  <c r="L49" i="1" s="1"/>
  <c r="K50" i="1"/>
  <c r="L50" i="1" s="1"/>
  <c r="K51" i="1"/>
  <c r="L51" i="1" s="1"/>
  <c r="K52" i="1"/>
  <c r="L52" i="1" s="1"/>
  <c r="K53" i="1"/>
  <c r="L53" i="1" s="1"/>
  <c r="K54" i="1"/>
  <c r="L54" i="1" s="1"/>
  <c r="K55" i="1"/>
  <c r="L55" i="1" s="1"/>
  <c r="K56" i="1"/>
  <c r="L56" i="1" s="1"/>
  <c r="K57" i="1"/>
  <c r="L57" i="1" s="1"/>
  <c r="K58" i="1"/>
  <c r="L58" i="1" s="1"/>
  <c r="K59" i="1"/>
  <c r="L59" i="1" s="1"/>
  <c r="K60" i="1"/>
  <c r="L60" i="1" s="1"/>
  <c r="K61" i="1"/>
  <c r="L61" i="1" s="1"/>
  <c r="K62" i="1"/>
  <c r="L62" i="1" s="1"/>
  <c r="K63" i="1"/>
  <c r="L63" i="1" s="1"/>
  <c r="K64" i="1"/>
  <c r="L64" i="1" s="1"/>
  <c r="K65" i="1"/>
  <c r="L65" i="1" s="1"/>
  <c r="K66" i="1"/>
  <c r="L66" i="1" s="1"/>
  <c r="K67" i="1"/>
  <c r="L67" i="1" s="1"/>
  <c r="K68" i="1"/>
  <c r="L68" i="1" s="1"/>
  <c r="K69" i="1"/>
  <c r="L69" i="1" s="1"/>
  <c r="K70" i="1"/>
  <c r="L70" i="1" s="1"/>
  <c r="K71" i="1"/>
  <c r="L71" i="1" s="1"/>
  <c r="K72" i="1"/>
  <c r="L72" i="1" s="1"/>
  <c r="K73" i="1"/>
  <c r="L73" i="1" s="1"/>
  <c r="K74" i="1"/>
  <c r="L74" i="1" s="1"/>
  <c r="K75" i="1"/>
  <c r="L75" i="1" s="1"/>
  <c r="K76" i="1"/>
  <c r="L76" i="1" s="1"/>
  <c r="K77" i="1"/>
  <c r="L77" i="1" s="1"/>
  <c r="K78" i="1"/>
  <c r="L78" i="1" s="1"/>
  <c r="K79" i="1"/>
  <c r="L79" i="1" s="1"/>
  <c r="K80" i="1"/>
  <c r="L80" i="1" s="1"/>
  <c r="K81" i="1"/>
  <c r="L81" i="1" s="1"/>
  <c r="K82" i="1"/>
  <c r="L82" i="1" s="1"/>
  <c r="K83" i="1"/>
  <c r="L83" i="1" s="1"/>
  <c r="K84" i="1"/>
  <c r="L84" i="1" s="1"/>
  <c r="K85" i="1"/>
  <c r="L85" i="1" s="1"/>
  <c r="K86" i="1"/>
  <c r="L86" i="1" s="1"/>
  <c r="K87" i="1"/>
  <c r="L87" i="1" s="1"/>
  <c r="K88" i="1"/>
  <c r="L88" i="1" s="1"/>
  <c r="K89" i="1"/>
  <c r="L89" i="1" s="1"/>
  <c r="K90" i="1"/>
  <c r="L90" i="1" s="1"/>
  <c r="K91" i="1"/>
  <c r="L91" i="1" s="1"/>
  <c r="K92" i="1"/>
  <c r="L92" i="1" s="1"/>
  <c r="K93" i="1"/>
  <c r="L93" i="1" s="1"/>
  <c r="K94" i="1"/>
  <c r="L94" i="1" s="1"/>
  <c r="K95" i="1"/>
  <c r="L95" i="1" s="1"/>
  <c r="K96" i="1"/>
  <c r="L96" i="1" s="1"/>
  <c r="K97" i="1"/>
  <c r="L97" i="1" s="1"/>
  <c r="K98" i="1"/>
  <c r="L98" i="1" s="1"/>
  <c r="K99" i="1"/>
  <c r="L99" i="1" s="1"/>
  <c r="K100" i="1"/>
  <c r="L100" i="1" s="1"/>
  <c r="K101" i="1"/>
  <c r="L101" i="1" s="1"/>
  <c r="K102" i="1"/>
  <c r="L102" i="1" s="1"/>
  <c r="K103" i="1"/>
  <c r="L103" i="1" s="1"/>
  <c r="K104" i="1"/>
  <c r="L104" i="1" s="1"/>
  <c r="K105" i="1"/>
  <c r="L105" i="1" s="1"/>
  <c r="K106" i="1"/>
  <c r="L106" i="1" s="1"/>
  <c r="K107" i="1"/>
  <c r="L107" i="1" s="1"/>
  <c r="K108" i="1"/>
  <c r="L108" i="1" s="1"/>
  <c r="K109" i="1"/>
  <c r="L109" i="1" s="1"/>
  <c r="K110" i="1"/>
  <c r="L110" i="1" s="1"/>
  <c r="K111" i="1"/>
  <c r="L111" i="1" s="1"/>
  <c r="K112" i="1"/>
  <c r="L112" i="1" s="1"/>
  <c r="K113" i="1"/>
  <c r="L113" i="1" s="1"/>
  <c r="K114" i="1"/>
  <c r="L114" i="1" s="1"/>
  <c r="K115" i="1"/>
  <c r="L115" i="1" s="1"/>
  <c r="K116" i="1"/>
  <c r="L116" i="1" s="1"/>
  <c r="K117" i="1"/>
  <c r="L117" i="1" s="1"/>
  <c r="K118" i="1"/>
  <c r="L118" i="1" s="1"/>
  <c r="K119" i="1"/>
  <c r="L119" i="1" s="1"/>
  <c r="K120" i="1"/>
  <c r="L120" i="1" s="1"/>
  <c r="K121" i="1"/>
  <c r="L121" i="1" s="1"/>
  <c r="K122" i="1"/>
  <c r="L122" i="1" s="1"/>
  <c r="K123" i="1"/>
  <c r="L123" i="1" s="1"/>
  <c r="K124" i="1"/>
  <c r="L124" i="1" s="1"/>
  <c r="K125" i="1"/>
  <c r="L125" i="1" s="1"/>
  <c r="K126" i="1"/>
  <c r="L126" i="1" s="1"/>
  <c r="K127" i="1"/>
  <c r="L127" i="1" s="1"/>
  <c r="K128" i="1"/>
  <c r="L128" i="1" s="1"/>
  <c r="K129" i="1"/>
  <c r="L129" i="1" s="1"/>
  <c r="K130" i="1"/>
  <c r="L130" i="1" s="1"/>
  <c r="K131" i="1"/>
  <c r="L131" i="1" s="1"/>
  <c r="K132" i="1"/>
  <c r="L132" i="1" s="1"/>
  <c r="K133" i="1"/>
  <c r="L133" i="1" s="1"/>
  <c r="K134" i="1"/>
  <c r="L134" i="1" s="1"/>
  <c r="K135" i="1"/>
  <c r="L135" i="1" s="1"/>
  <c r="K136" i="1"/>
  <c r="L136" i="1" s="1"/>
  <c r="K137" i="1"/>
  <c r="L137" i="1" s="1"/>
  <c r="K138" i="1"/>
  <c r="L138" i="1" s="1"/>
  <c r="K139" i="1"/>
  <c r="L139" i="1" s="1"/>
  <c r="K140" i="1"/>
  <c r="L140" i="1" s="1"/>
  <c r="K141" i="1"/>
  <c r="L141" i="1" s="1"/>
  <c r="K142" i="1"/>
  <c r="L142" i="1" s="1"/>
  <c r="K143" i="1"/>
  <c r="L143" i="1" s="1"/>
  <c r="K144" i="1"/>
  <c r="L144" i="1" s="1"/>
  <c r="K145" i="1"/>
  <c r="L145" i="1" s="1"/>
  <c r="K146" i="1"/>
  <c r="L146" i="1" s="1"/>
  <c r="K147" i="1"/>
  <c r="L147" i="1" s="1"/>
  <c r="K148" i="1"/>
  <c r="L148" i="1" s="1"/>
  <c r="K149" i="1"/>
  <c r="L149" i="1" s="1"/>
  <c r="K150" i="1"/>
  <c r="L150" i="1" s="1"/>
  <c r="K151" i="1"/>
  <c r="L151" i="1" s="1"/>
  <c r="K152" i="1"/>
  <c r="L152" i="1" s="1"/>
  <c r="K153" i="1"/>
  <c r="L153" i="1" s="1"/>
  <c r="K154" i="1"/>
  <c r="L154" i="1" s="1"/>
  <c r="K155" i="1"/>
  <c r="L155" i="1" s="1"/>
  <c r="K156" i="1"/>
  <c r="L156" i="1" s="1"/>
  <c r="K157" i="1"/>
  <c r="L157" i="1" s="1"/>
  <c r="K158" i="1"/>
  <c r="L158" i="1" s="1"/>
  <c r="K159" i="1"/>
  <c r="L159" i="1" s="1"/>
  <c r="K160" i="1"/>
  <c r="L160" i="1" s="1"/>
  <c r="K161" i="1"/>
  <c r="L161" i="1" s="1"/>
  <c r="K162" i="1"/>
  <c r="L162" i="1" s="1"/>
  <c r="K163" i="1"/>
  <c r="L163" i="1" s="1"/>
  <c r="K164" i="1"/>
  <c r="L164" i="1" s="1"/>
  <c r="K165" i="1"/>
  <c r="L165" i="1" s="1"/>
  <c r="K166" i="1"/>
  <c r="L166" i="1" s="1"/>
  <c r="K167" i="1"/>
  <c r="L167" i="1" s="1"/>
  <c r="K168" i="1"/>
  <c r="L168" i="1" s="1"/>
  <c r="K169" i="1"/>
  <c r="L169" i="1" s="1"/>
  <c r="K170" i="1"/>
  <c r="L170" i="1" s="1"/>
  <c r="K171" i="1"/>
  <c r="L171" i="1" s="1"/>
  <c r="K172" i="1"/>
  <c r="L172" i="1" s="1"/>
  <c r="K173" i="1"/>
  <c r="L173" i="1" s="1"/>
  <c r="K174" i="1"/>
  <c r="L174" i="1" s="1"/>
  <c r="K175" i="1"/>
  <c r="L175" i="1" s="1"/>
  <c r="K176" i="1"/>
  <c r="L176" i="1" s="1"/>
  <c r="K177" i="1"/>
  <c r="L177" i="1" s="1"/>
  <c r="K178" i="1"/>
  <c r="L178" i="1" s="1"/>
  <c r="K179" i="1"/>
  <c r="L179" i="1" s="1"/>
  <c r="K180" i="1"/>
  <c r="L180" i="1" s="1"/>
  <c r="K181" i="1"/>
  <c r="L181" i="1" s="1"/>
  <c r="K182" i="1"/>
  <c r="L182" i="1" s="1"/>
  <c r="K183" i="1"/>
  <c r="L183" i="1" s="1"/>
  <c r="K184" i="1"/>
  <c r="L184" i="1" s="1"/>
  <c r="K185" i="1"/>
  <c r="L185" i="1" s="1"/>
  <c r="K186" i="1"/>
  <c r="L186" i="1" s="1"/>
  <c r="K187" i="1"/>
  <c r="L187" i="1" s="1"/>
  <c r="K188" i="1"/>
  <c r="L188" i="1" s="1"/>
  <c r="K189" i="1"/>
  <c r="L189" i="1" s="1"/>
  <c r="K190" i="1"/>
  <c r="L190" i="1" s="1"/>
  <c r="K191" i="1"/>
  <c r="L191" i="1" s="1"/>
  <c r="K192" i="1"/>
  <c r="L192" i="1" s="1"/>
  <c r="K193" i="1"/>
  <c r="L193" i="1" s="1"/>
  <c r="K194" i="1"/>
  <c r="L194" i="1" s="1"/>
  <c r="K195" i="1"/>
  <c r="L195" i="1" s="1"/>
  <c r="K196" i="1"/>
  <c r="L196" i="1" s="1"/>
  <c r="K197" i="1"/>
  <c r="L197" i="1" s="1"/>
  <c r="K198" i="1"/>
  <c r="L198" i="1" s="1"/>
  <c r="K199" i="1"/>
  <c r="L199" i="1" s="1"/>
  <c r="K200" i="1"/>
  <c r="L200" i="1" s="1"/>
  <c r="K201" i="1"/>
  <c r="L201" i="1" s="1"/>
  <c r="K202" i="1"/>
  <c r="L202" i="1" s="1"/>
  <c r="K203" i="1"/>
  <c r="L203" i="1" s="1"/>
  <c r="K204" i="1"/>
  <c r="L204" i="1" s="1"/>
  <c r="K205" i="1"/>
  <c r="L205" i="1" s="1"/>
  <c r="K206" i="1"/>
  <c r="L206" i="1" s="1"/>
  <c r="K207" i="1"/>
  <c r="L207" i="1" s="1"/>
  <c r="K208" i="1"/>
  <c r="L208" i="1" s="1"/>
  <c r="K209" i="1"/>
  <c r="L209" i="1" s="1"/>
  <c r="K210" i="1"/>
  <c r="L210" i="1" s="1"/>
  <c r="K211" i="1"/>
  <c r="L211" i="1" s="1"/>
  <c r="K212" i="1"/>
  <c r="L212" i="1" s="1"/>
  <c r="K213" i="1"/>
  <c r="L213" i="1" s="1"/>
  <c r="K214" i="1"/>
  <c r="L214" i="1" s="1"/>
  <c r="K215" i="1"/>
  <c r="L215" i="1" s="1"/>
  <c r="K216" i="1"/>
  <c r="L216" i="1" s="1"/>
  <c r="K217" i="1"/>
  <c r="L217" i="1" s="1"/>
  <c r="K218" i="1"/>
  <c r="L218" i="1" s="1"/>
  <c r="K219" i="1"/>
  <c r="L219" i="1" s="1"/>
  <c r="K220" i="1"/>
  <c r="L220" i="1" s="1"/>
  <c r="K221" i="1"/>
  <c r="L221" i="1" s="1"/>
  <c r="K222" i="1"/>
  <c r="L222" i="1" s="1"/>
  <c r="K223" i="1"/>
  <c r="L223" i="1" s="1"/>
  <c r="K224" i="1"/>
  <c r="L224" i="1" s="1"/>
  <c r="K225" i="1"/>
  <c r="L225" i="1" s="1"/>
  <c r="K226" i="1"/>
  <c r="L226" i="1" s="1"/>
  <c r="K227" i="1"/>
  <c r="L227" i="1" s="1"/>
  <c r="K228" i="1"/>
  <c r="L228" i="1" s="1"/>
  <c r="K229" i="1"/>
  <c r="L229" i="1" s="1"/>
  <c r="K230" i="1"/>
  <c r="L230" i="1" s="1"/>
  <c r="K231" i="1"/>
  <c r="L231" i="1" s="1"/>
  <c r="K232" i="1"/>
  <c r="L232" i="1" s="1"/>
  <c r="K233" i="1"/>
  <c r="L233" i="1" s="1"/>
  <c r="K234" i="1"/>
  <c r="L234" i="1" s="1"/>
  <c r="K235" i="1"/>
  <c r="L235" i="1" s="1"/>
  <c r="K236" i="1"/>
  <c r="L236" i="1" s="1"/>
  <c r="K237" i="1"/>
  <c r="L237" i="1" s="1"/>
  <c r="K238" i="1"/>
  <c r="L238" i="1" s="1"/>
  <c r="K239" i="1"/>
  <c r="L239" i="1" s="1"/>
  <c r="K240" i="1"/>
  <c r="L240" i="1" s="1"/>
  <c r="K241" i="1"/>
  <c r="L241" i="1" s="1"/>
  <c r="K242" i="1"/>
  <c r="L242" i="1" s="1"/>
  <c r="K243" i="1"/>
  <c r="L243" i="1" s="1"/>
  <c r="K244" i="1"/>
  <c r="L244" i="1" s="1"/>
  <c r="K245" i="1"/>
  <c r="L245" i="1" s="1"/>
  <c r="K246" i="1"/>
  <c r="L246" i="1" s="1"/>
  <c r="K247" i="1"/>
  <c r="L247" i="1" s="1"/>
  <c r="K248" i="1"/>
  <c r="L248" i="1" s="1"/>
  <c r="K249" i="1"/>
  <c r="L249" i="1" s="1"/>
  <c r="K250" i="1"/>
  <c r="L250" i="1" s="1"/>
  <c r="K251" i="1"/>
  <c r="L251" i="1" s="1"/>
  <c r="K252" i="1"/>
  <c r="L252" i="1" s="1"/>
  <c r="K253" i="1"/>
  <c r="L253" i="1" s="1"/>
  <c r="K254" i="1"/>
  <c r="L254" i="1" s="1"/>
  <c r="K255" i="1"/>
  <c r="L255" i="1" s="1"/>
  <c r="K256" i="1"/>
  <c r="L256" i="1" s="1"/>
  <c r="K257" i="1"/>
  <c r="L257" i="1" s="1"/>
  <c r="K258" i="1"/>
  <c r="L258" i="1" s="1"/>
  <c r="K259" i="1"/>
  <c r="L259" i="1" s="1"/>
  <c r="K260" i="1"/>
  <c r="L260" i="1" s="1"/>
  <c r="K261" i="1"/>
  <c r="L261" i="1" s="1"/>
  <c r="K262" i="1"/>
  <c r="L262" i="1" s="1"/>
  <c r="K263" i="1"/>
  <c r="L263" i="1" s="1"/>
  <c r="K264" i="1"/>
  <c r="L264" i="1" s="1"/>
  <c r="K265" i="1"/>
  <c r="L265" i="1" s="1"/>
  <c r="K266" i="1"/>
  <c r="L266" i="1" s="1"/>
  <c r="K267" i="1"/>
  <c r="L267" i="1" s="1"/>
  <c r="K268" i="1"/>
  <c r="L268" i="1" s="1"/>
  <c r="K269" i="1"/>
  <c r="L269" i="1" s="1"/>
  <c r="K270" i="1"/>
  <c r="L270" i="1" s="1"/>
  <c r="K271" i="1"/>
  <c r="L271" i="1" s="1"/>
  <c r="K272" i="1"/>
  <c r="L272" i="1" s="1"/>
  <c r="K273" i="1"/>
  <c r="L273" i="1" s="1"/>
  <c r="K274" i="1"/>
  <c r="L274" i="1" s="1"/>
  <c r="K275" i="1"/>
  <c r="L275" i="1" s="1"/>
  <c r="K276" i="1"/>
  <c r="L276" i="1" s="1"/>
  <c r="K277" i="1"/>
  <c r="L277" i="1" s="1"/>
  <c r="K278" i="1"/>
  <c r="L278" i="1" s="1"/>
  <c r="K279" i="1"/>
  <c r="L279" i="1" s="1"/>
  <c r="K280" i="1"/>
  <c r="L280" i="1" s="1"/>
  <c r="K281" i="1"/>
  <c r="L281" i="1" s="1"/>
  <c r="K282" i="1"/>
  <c r="L282" i="1" s="1"/>
  <c r="K283" i="1"/>
  <c r="L283" i="1" s="1"/>
  <c r="K284" i="1"/>
  <c r="L284" i="1" s="1"/>
  <c r="K285" i="1"/>
  <c r="L285" i="1" s="1"/>
  <c r="K286" i="1"/>
  <c r="L286" i="1" s="1"/>
  <c r="K287" i="1"/>
  <c r="L287" i="1" s="1"/>
  <c r="K288" i="1"/>
  <c r="L288" i="1" s="1"/>
  <c r="K289" i="1"/>
  <c r="L289" i="1" s="1"/>
  <c r="K290" i="1"/>
  <c r="L290" i="1" s="1"/>
  <c r="K291" i="1"/>
  <c r="L291" i="1" s="1"/>
  <c r="K292" i="1"/>
  <c r="L292" i="1" s="1"/>
  <c r="K293" i="1"/>
  <c r="L293" i="1" s="1"/>
  <c r="K294" i="1"/>
  <c r="L294" i="1" s="1"/>
  <c r="K295" i="1"/>
  <c r="L295" i="1" s="1"/>
  <c r="K296" i="1"/>
  <c r="L296" i="1" s="1"/>
  <c r="K297" i="1"/>
  <c r="L297" i="1" s="1"/>
  <c r="K298" i="1"/>
  <c r="L298" i="1" s="1"/>
  <c r="K299" i="1"/>
  <c r="L299" i="1" s="1"/>
  <c r="K300" i="1"/>
  <c r="L300" i="1" s="1"/>
  <c r="K301" i="1"/>
  <c r="L301" i="1" s="1"/>
  <c r="K302" i="1"/>
  <c r="L302" i="1" s="1"/>
  <c r="K303" i="1"/>
  <c r="L303" i="1" s="1"/>
  <c r="K304" i="1"/>
  <c r="L304" i="1" s="1"/>
  <c r="K305" i="1"/>
  <c r="L305" i="1" s="1"/>
  <c r="K306" i="1"/>
  <c r="L306" i="1" s="1"/>
  <c r="K307" i="1"/>
  <c r="L307" i="1" s="1"/>
  <c r="K308" i="1"/>
  <c r="L308" i="1" s="1"/>
  <c r="K309" i="1"/>
  <c r="L309" i="1" s="1"/>
  <c r="K310" i="1"/>
  <c r="L310" i="1" s="1"/>
  <c r="K311" i="1"/>
  <c r="L311" i="1" s="1"/>
  <c r="K312" i="1"/>
  <c r="L312" i="1" s="1"/>
  <c r="K313" i="1"/>
  <c r="L313" i="1" s="1"/>
  <c r="K314" i="1"/>
  <c r="L314" i="1" s="1"/>
  <c r="K315" i="1"/>
  <c r="L315" i="1" s="1"/>
  <c r="K316" i="1"/>
  <c r="L316" i="1" s="1"/>
  <c r="K317" i="1"/>
  <c r="L317" i="1" s="1"/>
  <c r="K318" i="1"/>
  <c r="L318" i="1" s="1"/>
  <c r="K319" i="1"/>
  <c r="L319" i="1" s="1"/>
  <c r="K320" i="1"/>
  <c r="L320" i="1" s="1"/>
  <c r="K321" i="1"/>
  <c r="L321" i="1" s="1"/>
  <c r="K322" i="1"/>
  <c r="L322" i="1" s="1"/>
  <c r="K323" i="1"/>
  <c r="L323" i="1" s="1"/>
  <c r="K324" i="1"/>
  <c r="L324" i="1" s="1"/>
  <c r="K325" i="1"/>
  <c r="L325" i="1" s="1"/>
  <c r="K326" i="1"/>
  <c r="L326" i="1" s="1"/>
  <c r="K327" i="1"/>
  <c r="L327" i="1" s="1"/>
  <c r="K328" i="1"/>
  <c r="L328" i="1" s="1"/>
  <c r="K329" i="1"/>
  <c r="L329" i="1" s="1"/>
  <c r="K330" i="1"/>
  <c r="L330" i="1" s="1"/>
  <c r="K331" i="1"/>
  <c r="L331" i="1" s="1"/>
  <c r="K332" i="1"/>
  <c r="L332" i="1" s="1"/>
  <c r="K333" i="1"/>
  <c r="L333" i="1" s="1"/>
  <c r="K334" i="1"/>
  <c r="L334" i="1" s="1"/>
  <c r="K335" i="1"/>
  <c r="L335" i="1" s="1"/>
  <c r="K336" i="1"/>
  <c r="L336" i="1" s="1"/>
  <c r="K337" i="1"/>
  <c r="L337" i="1" s="1"/>
  <c r="K338" i="1"/>
  <c r="L338" i="1" s="1"/>
  <c r="K339" i="1"/>
  <c r="L339" i="1" s="1"/>
  <c r="K340" i="1"/>
  <c r="L340" i="1" s="1"/>
  <c r="K341" i="1"/>
  <c r="L341" i="1" s="1"/>
  <c r="K342" i="1"/>
  <c r="L342" i="1" s="1"/>
  <c r="K343" i="1"/>
  <c r="L343" i="1" s="1"/>
  <c r="K344" i="1"/>
  <c r="L344" i="1" s="1"/>
  <c r="K345" i="1"/>
  <c r="L345" i="1" s="1"/>
  <c r="K346" i="1"/>
  <c r="L346" i="1" s="1"/>
  <c r="K347" i="1"/>
  <c r="L347" i="1" s="1"/>
  <c r="K348" i="1"/>
  <c r="L348" i="1" s="1"/>
  <c r="K349" i="1"/>
  <c r="L349" i="1" s="1"/>
  <c r="K350" i="1"/>
  <c r="L350" i="1" s="1"/>
  <c r="K351" i="1"/>
  <c r="L351" i="1" s="1"/>
  <c r="K352" i="1"/>
  <c r="L352" i="1" s="1"/>
  <c r="K353" i="1"/>
  <c r="L353" i="1" s="1"/>
  <c r="K354" i="1"/>
  <c r="L354" i="1" s="1"/>
  <c r="K355" i="1"/>
  <c r="L355" i="1" s="1"/>
  <c r="K356" i="1"/>
  <c r="L356" i="1" s="1"/>
  <c r="K357" i="1"/>
  <c r="L357" i="1" s="1"/>
  <c r="K358" i="1"/>
  <c r="L358" i="1" s="1"/>
  <c r="K359" i="1"/>
  <c r="L359" i="1" s="1"/>
  <c r="K360" i="1"/>
  <c r="L360" i="1" s="1"/>
  <c r="K361" i="1"/>
  <c r="L361" i="1" s="1"/>
  <c r="K362" i="1"/>
  <c r="L362" i="1" s="1"/>
  <c r="K363" i="1"/>
  <c r="L363" i="1" s="1"/>
  <c r="K364" i="1"/>
  <c r="L364" i="1" s="1"/>
  <c r="K365" i="1"/>
  <c r="L365" i="1" s="1"/>
  <c r="K366" i="1"/>
  <c r="L366" i="1" s="1"/>
  <c r="K367" i="1"/>
  <c r="L367" i="1" s="1"/>
  <c r="K368" i="1"/>
  <c r="L368" i="1" s="1"/>
  <c r="K369" i="1"/>
  <c r="L369" i="1" s="1"/>
  <c r="K370" i="1"/>
  <c r="L370" i="1" s="1"/>
  <c r="K371" i="1"/>
  <c r="L371" i="1" s="1"/>
  <c r="K372" i="1"/>
  <c r="L372" i="1" s="1"/>
  <c r="K373" i="1"/>
  <c r="L373" i="1" s="1"/>
  <c r="K374" i="1"/>
  <c r="L374" i="1" s="1"/>
  <c r="K375" i="1"/>
  <c r="L375" i="1" s="1"/>
  <c r="K376" i="1"/>
  <c r="L376" i="1" s="1"/>
  <c r="K377" i="1"/>
  <c r="L377" i="1" s="1"/>
  <c r="K378" i="1"/>
  <c r="L378" i="1" s="1"/>
  <c r="K379" i="1"/>
  <c r="L379" i="1" s="1"/>
  <c r="K380" i="1"/>
  <c r="L380" i="1" s="1"/>
  <c r="K381" i="1"/>
  <c r="L381" i="1" s="1"/>
  <c r="K382" i="1"/>
  <c r="L382" i="1" s="1"/>
  <c r="K383" i="1"/>
  <c r="L383" i="1" s="1"/>
  <c r="K384" i="1"/>
  <c r="L384" i="1" s="1"/>
  <c r="K385" i="1"/>
  <c r="L385" i="1" s="1"/>
  <c r="K386" i="1"/>
  <c r="L386" i="1" s="1"/>
  <c r="K387" i="1"/>
  <c r="L387" i="1" s="1"/>
  <c r="K388" i="1"/>
  <c r="L388" i="1" s="1"/>
  <c r="K389" i="1"/>
  <c r="L389" i="1" s="1"/>
  <c r="K390" i="1"/>
  <c r="L390" i="1" s="1"/>
  <c r="K391" i="1"/>
  <c r="L391" i="1" s="1"/>
  <c r="K392" i="1"/>
  <c r="L392" i="1" s="1"/>
  <c r="K393" i="1"/>
  <c r="L393" i="1" s="1"/>
  <c r="K394" i="1"/>
  <c r="L394" i="1" s="1"/>
  <c r="K395" i="1"/>
  <c r="L395" i="1" s="1"/>
  <c r="K396" i="1"/>
  <c r="L396" i="1" s="1"/>
  <c r="K397" i="1"/>
  <c r="L397" i="1" s="1"/>
  <c r="K398" i="1"/>
  <c r="L398" i="1" s="1"/>
  <c r="K399" i="1"/>
  <c r="L399" i="1" s="1"/>
  <c r="K400" i="1"/>
  <c r="L400" i="1" s="1"/>
  <c r="K401" i="1"/>
  <c r="L401" i="1" s="1"/>
  <c r="K402" i="1"/>
  <c r="L402" i="1" s="1"/>
  <c r="K403" i="1"/>
  <c r="L403" i="1" s="1"/>
  <c r="K404" i="1"/>
  <c r="L404" i="1" s="1"/>
  <c r="K405" i="1"/>
  <c r="L405" i="1" s="1"/>
  <c r="K406" i="1"/>
  <c r="L406" i="1" s="1"/>
  <c r="K407" i="1"/>
  <c r="L407" i="1" s="1"/>
  <c r="K408" i="1"/>
  <c r="L408" i="1" s="1"/>
  <c r="K409" i="1"/>
  <c r="L409" i="1" s="1"/>
  <c r="K410" i="1"/>
  <c r="L410" i="1" s="1"/>
  <c r="K411" i="1"/>
  <c r="L411" i="1" s="1"/>
  <c r="K412" i="1"/>
  <c r="L412" i="1" s="1"/>
  <c r="K413" i="1"/>
  <c r="L413" i="1" s="1"/>
  <c r="K414" i="1"/>
  <c r="L414" i="1" s="1"/>
  <c r="K415" i="1"/>
  <c r="L415" i="1" s="1"/>
  <c r="K416" i="1"/>
  <c r="L416" i="1" s="1"/>
  <c r="K417" i="1"/>
  <c r="L417" i="1" s="1"/>
  <c r="K418" i="1"/>
  <c r="L418" i="1" s="1"/>
  <c r="K419" i="1"/>
  <c r="L419" i="1" s="1"/>
  <c r="K420" i="1"/>
  <c r="L420" i="1" s="1"/>
  <c r="K421" i="1"/>
  <c r="L421" i="1" s="1"/>
  <c r="K422" i="1"/>
  <c r="L422" i="1" s="1"/>
  <c r="K423" i="1"/>
  <c r="L423" i="1" s="1"/>
  <c r="K424" i="1"/>
  <c r="L424" i="1" s="1"/>
  <c r="K425" i="1"/>
  <c r="L425" i="1" s="1"/>
  <c r="K426" i="1"/>
  <c r="L426" i="1" s="1"/>
  <c r="K427" i="1"/>
  <c r="L427" i="1" s="1"/>
  <c r="K428" i="1"/>
  <c r="L428" i="1" s="1"/>
  <c r="K429" i="1"/>
  <c r="L429" i="1" s="1"/>
  <c r="K430" i="1"/>
  <c r="L430" i="1" s="1"/>
  <c r="K431" i="1"/>
  <c r="L431" i="1" s="1"/>
  <c r="K432" i="1"/>
  <c r="L432" i="1" s="1"/>
  <c r="K433" i="1"/>
  <c r="L433" i="1" s="1"/>
  <c r="K434" i="1"/>
  <c r="L434" i="1" s="1"/>
  <c r="K435" i="1"/>
  <c r="L435" i="1" s="1"/>
  <c r="K436" i="1"/>
  <c r="L436" i="1" s="1"/>
  <c r="K437" i="1"/>
  <c r="L437" i="1" s="1"/>
  <c r="K438" i="1"/>
  <c r="L438" i="1" s="1"/>
  <c r="K439" i="1"/>
  <c r="L439" i="1" s="1"/>
  <c r="K440" i="1"/>
  <c r="L440" i="1" s="1"/>
  <c r="K441" i="1"/>
  <c r="L441" i="1" s="1"/>
  <c r="K442" i="1"/>
  <c r="L442" i="1" s="1"/>
  <c r="K443" i="1"/>
  <c r="L443" i="1" s="1"/>
  <c r="K444" i="1"/>
  <c r="L444" i="1" s="1"/>
  <c r="K445" i="1"/>
  <c r="L445" i="1" s="1"/>
  <c r="K446" i="1"/>
  <c r="L446" i="1" s="1"/>
  <c r="K447" i="1"/>
  <c r="L447" i="1" s="1"/>
  <c r="K448" i="1"/>
  <c r="L448" i="1" s="1"/>
  <c r="K449" i="1"/>
  <c r="L449" i="1" s="1"/>
  <c r="K450" i="1"/>
  <c r="L450" i="1" s="1"/>
  <c r="K451" i="1"/>
  <c r="L451" i="1" s="1"/>
  <c r="K452" i="1"/>
  <c r="L452" i="1" s="1"/>
  <c r="K453" i="1"/>
  <c r="L453" i="1" s="1"/>
  <c r="K454" i="1"/>
  <c r="L454" i="1" s="1"/>
  <c r="K455" i="1"/>
  <c r="L455" i="1" s="1"/>
  <c r="K456" i="1"/>
  <c r="L456" i="1" s="1"/>
  <c r="K457" i="1"/>
  <c r="L457" i="1" s="1"/>
  <c r="K458" i="1"/>
  <c r="L458" i="1" s="1"/>
  <c r="K459" i="1"/>
  <c r="L459" i="1" s="1"/>
  <c r="K460" i="1"/>
  <c r="L460" i="1" s="1"/>
  <c r="K461" i="1"/>
  <c r="L461" i="1" s="1"/>
  <c r="K462" i="1"/>
  <c r="L462" i="1" s="1"/>
  <c r="K463" i="1"/>
  <c r="L463" i="1" s="1"/>
  <c r="K464" i="1"/>
  <c r="L464" i="1" s="1"/>
  <c r="K465" i="1"/>
  <c r="L465" i="1" s="1"/>
  <c r="K466" i="1"/>
  <c r="L466" i="1" s="1"/>
  <c r="K467" i="1"/>
  <c r="L467" i="1" s="1"/>
  <c r="K468" i="1"/>
  <c r="L468" i="1" s="1"/>
  <c r="K469" i="1"/>
  <c r="L469" i="1" s="1"/>
  <c r="K470" i="1"/>
  <c r="L470" i="1" s="1"/>
  <c r="K471" i="1"/>
  <c r="L471" i="1" s="1"/>
  <c r="K472" i="1"/>
  <c r="L472" i="1" s="1"/>
  <c r="K473" i="1"/>
  <c r="L473" i="1" s="1"/>
  <c r="K474" i="1"/>
  <c r="L474" i="1" s="1"/>
  <c r="K475" i="1"/>
  <c r="L475" i="1" s="1"/>
  <c r="K476" i="1"/>
  <c r="L476" i="1" s="1"/>
  <c r="K477" i="1"/>
  <c r="L477" i="1" s="1"/>
  <c r="K478" i="1"/>
  <c r="L478" i="1" s="1"/>
  <c r="K479" i="1"/>
  <c r="L479" i="1" s="1"/>
  <c r="K480" i="1"/>
  <c r="L480" i="1" s="1"/>
  <c r="K481" i="1"/>
  <c r="L481" i="1" s="1"/>
  <c r="K482" i="1"/>
  <c r="L482" i="1" s="1"/>
  <c r="K483" i="1"/>
  <c r="L483" i="1" s="1"/>
  <c r="K484" i="1"/>
  <c r="L484" i="1" s="1"/>
  <c r="K485" i="1"/>
  <c r="L485" i="1" s="1"/>
  <c r="K486" i="1"/>
  <c r="L486" i="1" s="1"/>
  <c r="K487" i="1"/>
  <c r="L487" i="1" s="1"/>
  <c r="K488" i="1"/>
  <c r="L488" i="1" s="1"/>
  <c r="K489" i="1"/>
  <c r="L489" i="1" s="1"/>
  <c r="K490" i="1"/>
  <c r="L490" i="1" s="1"/>
  <c r="K491" i="1"/>
  <c r="L491" i="1" s="1"/>
  <c r="K492" i="1"/>
  <c r="L492" i="1" s="1"/>
  <c r="K493" i="1"/>
  <c r="L493" i="1" s="1"/>
  <c r="K494" i="1"/>
  <c r="L494" i="1" s="1"/>
  <c r="K495" i="1"/>
  <c r="L495" i="1" s="1"/>
  <c r="K496" i="1"/>
  <c r="L496" i="1" s="1"/>
  <c r="K497" i="1"/>
  <c r="L497" i="1" s="1"/>
  <c r="K498" i="1"/>
  <c r="L498" i="1" s="1"/>
  <c r="K499" i="1"/>
  <c r="L499" i="1" s="1"/>
  <c r="K500" i="1"/>
  <c r="L500" i="1" s="1"/>
  <c r="K501" i="1"/>
  <c r="L501" i="1" s="1"/>
  <c r="K502" i="1"/>
  <c r="L502" i="1" s="1"/>
  <c r="K503" i="1"/>
  <c r="L503" i="1" s="1"/>
  <c r="K504" i="1"/>
  <c r="L504" i="1" s="1"/>
  <c r="K505" i="1"/>
  <c r="L505" i="1" s="1"/>
  <c r="K506" i="1"/>
  <c r="L506" i="1" s="1"/>
  <c r="K507" i="1"/>
  <c r="L507" i="1" s="1"/>
  <c r="K508" i="1"/>
  <c r="L508" i="1" s="1"/>
  <c r="K509" i="1"/>
  <c r="L509" i="1" s="1"/>
  <c r="K510" i="1"/>
  <c r="L510" i="1" s="1"/>
  <c r="K511" i="1"/>
  <c r="L511" i="1" s="1"/>
  <c r="K512" i="1"/>
  <c r="L512" i="1" s="1"/>
  <c r="K513" i="1"/>
  <c r="L513" i="1" s="1"/>
  <c r="K514" i="1"/>
  <c r="L514" i="1" s="1"/>
  <c r="K515" i="1"/>
  <c r="L515" i="1" s="1"/>
  <c r="K516" i="1"/>
  <c r="L516" i="1" s="1"/>
  <c r="K517" i="1"/>
  <c r="L517" i="1" s="1"/>
  <c r="K518" i="1"/>
  <c r="L518" i="1" s="1"/>
  <c r="K519" i="1"/>
  <c r="L519" i="1" s="1"/>
  <c r="K520" i="1"/>
  <c r="L520" i="1" s="1"/>
  <c r="K521" i="1"/>
  <c r="L521" i="1" s="1"/>
  <c r="K522" i="1"/>
  <c r="L522" i="1" s="1"/>
  <c r="K523" i="1"/>
  <c r="L523" i="1" s="1"/>
  <c r="K524" i="1"/>
  <c r="L524" i="1" s="1"/>
  <c r="K525" i="1"/>
  <c r="L525" i="1" s="1"/>
  <c r="K526" i="1"/>
  <c r="L526" i="1" s="1"/>
  <c r="K527" i="1"/>
  <c r="L527" i="1" s="1"/>
  <c r="K528" i="1"/>
  <c r="L528" i="1" s="1"/>
  <c r="K529" i="1"/>
  <c r="L529" i="1" s="1"/>
  <c r="K530" i="1"/>
  <c r="L530" i="1" s="1"/>
  <c r="K531" i="1"/>
  <c r="L531" i="1" s="1"/>
  <c r="K532" i="1"/>
  <c r="L532" i="1" s="1"/>
  <c r="K533" i="1"/>
  <c r="L533" i="1" s="1"/>
  <c r="K534" i="1"/>
  <c r="L534" i="1" s="1"/>
  <c r="K535" i="1"/>
  <c r="L535" i="1" s="1"/>
  <c r="K536" i="1"/>
  <c r="L536" i="1" s="1"/>
  <c r="K537" i="1"/>
  <c r="L537" i="1" s="1"/>
  <c r="K538" i="1"/>
  <c r="L538" i="1" s="1"/>
  <c r="K539" i="1"/>
  <c r="L539" i="1" s="1"/>
  <c r="K540" i="1"/>
  <c r="L540" i="1" s="1"/>
  <c r="K541" i="1"/>
  <c r="L541" i="1" s="1"/>
  <c r="K542" i="1"/>
  <c r="L542" i="1" s="1"/>
  <c r="K543" i="1"/>
  <c r="L543" i="1" s="1"/>
  <c r="K544" i="1"/>
  <c r="L544" i="1" s="1"/>
  <c r="K545" i="1"/>
  <c r="L545" i="1" s="1"/>
  <c r="K546" i="1"/>
  <c r="L546" i="1" s="1"/>
  <c r="K547" i="1"/>
  <c r="L547" i="1" s="1"/>
  <c r="K548" i="1"/>
  <c r="L548" i="1" s="1"/>
  <c r="K549" i="1"/>
  <c r="L549" i="1" s="1"/>
  <c r="K550" i="1"/>
  <c r="L550" i="1" s="1"/>
  <c r="K551" i="1"/>
  <c r="L551" i="1" s="1"/>
  <c r="K552" i="1"/>
  <c r="L552" i="1" s="1"/>
  <c r="K553" i="1"/>
  <c r="L553" i="1" s="1"/>
  <c r="K554" i="1"/>
  <c r="L554" i="1" s="1"/>
  <c r="K555" i="1"/>
  <c r="L555" i="1" s="1"/>
  <c r="K556" i="1"/>
  <c r="L556" i="1" s="1"/>
  <c r="K557" i="1"/>
  <c r="L557" i="1" s="1"/>
  <c r="K558" i="1"/>
  <c r="L558" i="1" s="1"/>
  <c r="K559" i="1"/>
  <c r="L559" i="1" s="1"/>
  <c r="K560" i="1"/>
  <c r="L560" i="1" s="1"/>
  <c r="K561" i="1"/>
  <c r="L561" i="1" s="1"/>
  <c r="K562" i="1"/>
  <c r="L562" i="1" s="1"/>
  <c r="K563" i="1"/>
  <c r="L563" i="1" s="1"/>
  <c r="K564" i="1"/>
  <c r="L564" i="1" s="1"/>
  <c r="K565" i="1"/>
  <c r="L565" i="1" s="1"/>
  <c r="K566" i="1"/>
  <c r="L566" i="1" s="1"/>
  <c r="K567" i="1"/>
  <c r="L567" i="1" s="1"/>
  <c r="K568" i="1"/>
  <c r="L568" i="1" s="1"/>
  <c r="K569" i="1"/>
  <c r="L569" i="1" s="1"/>
  <c r="K570" i="1"/>
  <c r="L570" i="1" s="1"/>
  <c r="K571" i="1"/>
  <c r="L571" i="1" s="1"/>
  <c r="K572" i="1"/>
  <c r="L572" i="1" s="1"/>
  <c r="K573" i="1"/>
  <c r="L573" i="1" s="1"/>
  <c r="K574" i="1"/>
  <c r="L574" i="1" s="1"/>
  <c r="K575" i="1"/>
  <c r="L575" i="1" s="1"/>
  <c r="K576" i="1"/>
  <c r="L576" i="1" s="1"/>
  <c r="K577" i="1"/>
  <c r="L577" i="1" s="1"/>
  <c r="K578" i="1"/>
  <c r="L578" i="1" s="1"/>
  <c r="K579" i="1"/>
  <c r="L579" i="1" s="1"/>
  <c r="K580" i="1"/>
  <c r="L580" i="1" s="1"/>
  <c r="K581" i="1"/>
  <c r="L581" i="1" s="1"/>
  <c r="K582" i="1"/>
  <c r="L582" i="1" s="1"/>
  <c r="K583" i="1"/>
  <c r="L583" i="1" s="1"/>
  <c r="K584" i="1"/>
  <c r="L584" i="1" s="1"/>
  <c r="K585" i="1"/>
  <c r="L585" i="1" s="1"/>
  <c r="K586" i="1"/>
  <c r="L586" i="1" s="1"/>
  <c r="K587" i="1"/>
  <c r="L587" i="1" s="1"/>
  <c r="K588" i="1"/>
  <c r="L588" i="1" s="1"/>
  <c r="K589" i="1"/>
  <c r="L589" i="1" s="1"/>
  <c r="K590" i="1"/>
  <c r="L590" i="1" s="1"/>
  <c r="K591" i="1"/>
  <c r="L591" i="1" s="1"/>
  <c r="K592" i="1"/>
  <c r="L592" i="1" s="1"/>
  <c r="K593" i="1"/>
  <c r="L593" i="1" s="1"/>
  <c r="K594" i="1"/>
  <c r="L594" i="1" s="1"/>
  <c r="K595" i="1"/>
  <c r="L595" i="1" s="1"/>
  <c r="K596" i="1"/>
  <c r="L596" i="1" s="1"/>
  <c r="K597" i="1"/>
  <c r="L597" i="1" s="1"/>
  <c r="K598" i="1"/>
  <c r="L598" i="1" s="1"/>
  <c r="K599" i="1"/>
  <c r="L599" i="1" s="1"/>
  <c r="K600" i="1"/>
  <c r="L600" i="1" s="1"/>
  <c r="K601" i="1"/>
  <c r="L601" i="1" s="1"/>
  <c r="K602" i="1"/>
  <c r="L602" i="1" s="1"/>
  <c r="K603" i="1"/>
  <c r="L603" i="1" s="1"/>
  <c r="K604" i="1"/>
  <c r="L604" i="1" s="1"/>
  <c r="K605" i="1"/>
  <c r="L605" i="1" s="1"/>
  <c r="K606" i="1"/>
  <c r="L606" i="1" s="1"/>
  <c r="K607" i="1"/>
  <c r="L607" i="1" s="1"/>
  <c r="K608" i="1"/>
  <c r="L608" i="1" s="1"/>
  <c r="K609" i="1"/>
  <c r="L609" i="1" s="1"/>
  <c r="K610" i="1"/>
  <c r="L610" i="1" s="1"/>
  <c r="K611" i="1"/>
  <c r="L611" i="1" s="1"/>
  <c r="K612" i="1"/>
  <c r="L612" i="1" s="1"/>
  <c r="K613" i="1"/>
  <c r="L613" i="1" s="1"/>
  <c r="K614" i="1"/>
  <c r="L614" i="1" s="1"/>
  <c r="K615" i="1"/>
  <c r="L615" i="1" s="1"/>
  <c r="K616" i="1"/>
  <c r="L616" i="1" s="1"/>
  <c r="K617" i="1"/>
  <c r="L617" i="1" s="1"/>
  <c r="K618" i="1"/>
  <c r="L618" i="1" s="1"/>
  <c r="K619" i="1"/>
  <c r="L619" i="1" s="1"/>
  <c r="K620" i="1"/>
  <c r="L620" i="1" s="1"/>
  <c r="K621" i="1"/>
  <c r="L621" i="1" s="1"/>
  <c r="K622" i="1"/>
  <c r="L622" i="1" s="1"/>
  <c r="K623" i="1"/>
  <c r="L623" i="1" s="1"/>
  <c r="K624" i="1"/>
  <c r="L624" i="1" s="1"/>
  <c r="K625" i="1"/>
  <c r="L625" i="1" s="1"/>
  <c r="K626" i="1"/>
  <c r="L626" i="1" s="1"/>
  <c r="K627" i="1"/>
  <c r="L627" i="1" s="1"/>
  <c r="K628" i="1"/>
  <c r="L628" i="1" s="1"/>
  <c r="K629" i="1"/>
  <c r="L629" i="1" s="1"/>
  <c r="K630" i="1"/>
  <c r="L630" i="1" s="1"/>
  <c r="K631" i="1"/>
  <c r="L631" i="1" s="1"/>
  <c r="K632" i="1"/>
  <c r="L632" i="1" s="1"/>
  <c r="K633" i="1"/>
  <c r="L633" i="1" s="1"/>
  <c r="K634" i="1"/>
  <c r="L634" i="1" s="1"/>
  <c r="K635" i="1"/>
  <c r="L635" i="1" s="1"/>
  <c r="K636" i="1"/>
  <c r="L636" i="1" s="1"/>
  <c r="K637" i="1"/>
  <c r="L637" i="1" s="1"/>
  <c r="K638" i="1"/>
  <c r="L638" i="1" s="1"/>
  <c r="K639" i="1"/>
  <c r="L639" i="1" s="1"/>
  <c r="K640" i="1"/>
  <c r="L640" i="1" s="1"/>
  <c r="K641" i="1"/>
  <c r="L641" i="1" s="1"/>
  <c r="K642" i="1"/>
  <c r="L642" i="1" s="1"/>
  <c r="K643" i="1"/>
  <c r="L643" i="1" s="1"/>
  <c r="K644" i="1"/>
  <c r="L644" i="1" s="1"/>
  <c r="K645" i="1"/>
  <c r="L645" i="1" s="1"/>
  <c r="K646" i="1"/>
  <c r="L646" i="1" s="1"/>
  <c r="K647" i="1"/>
  <c r="L647" i="1" s="1"/>
  <c r="K648" i="1"/>
  <c r="L648" i="1" s="1"/>
  <c r="K649" i="1"/>
  <c r="L649" i="1" s="1"/>
  <c r="K650" i="1"/>
  <c r="L650" i="1" s="1"/>
  <c r="K651" i="1"/>
  <c r="L651" i="1" s="1"/>
  <c r="K652" i="1"/>
  <c r="L652" i="1" s="1"/>
  <c r="K653" i="1"/>
  <c r="L653" i="1" s="1"/>
  <c r="K654" i="1"/>
  <c r="L654" i="1" s="1"/>
  <c r="K655" i="1"/>
  <c r="L655" i="1" s="1"/>
  <c r="K656" i="1"/>
  <c r="L656" i="1" s="1"/>
  <c r="K657" i="1"/>
  <c r="L657" i="1" s="1"/>
  <c r="K658" i="1"/>
  <c r="L658" i="1" s="1"/>
  <c r="K659" i="1"/>
  <c r="L659" i="1" s="1"/>
  <c r="K660" i="1"/>
  <c r="L660" i="1" s="1"/>
  <c r="K661" i="1"/>
  <c r="L661" i="1" s="1"/>
  <c r="K662" i="1"/>
  <c r="L662" i="1" s="1"/>
  <c r="K663" i="1"/>
  <c r="L663" i="1" s="1"/>
  <c r="K664" i="1"/>
  <c r="L664" i="1" s="1"/>
  <c r="K665" i="1"/>
  <c r="L665" i="1" s="1"/>
  <c r="K666" i="1"/>
  <c r="L666" i="1" s="1"/>
  <c r="K667" i="1"/>
  <c r="L667" i="1" s="1"/>
  <c r="K668" i="1"/>
  <c r="L668" i="1" s="1"/>
  <c r="K669" i="1"/>
  <c r="L669" i="1" s="1"/>
  <c r="K670" i="1"/>
  <c r="L670" i="1" s="1"/>
  <c r="K671" i="1"/>
  <c r="L671" i="1" s="1"/>
  <c r="K672" i="1"/>
  <c r="L672" i="1" s="1"/>
  <c r="K673" i="1"/>
  <c r="L673" i="1" s="1"/>
  <c r="K674" i="1"/>
  <c r="L674" i="1" s="1"/>
  <c r="K675" i="1"/>
  <c r="L675" i="1" s="1"/>
  <c r="K676" i="1"/>
  <c r="L676" i="1" s="1"/>
  <c r="K677" i="1"/>
  <c r="L677" i="1" s="1"/>
  <c r="K678" i="1"/>
  <c r="L678" i="1" s="1"/>
  <c r="K679" i="1"/>
  <c r="L679" i="1" s="1"/>
  <c r="K680" i="1"/>
  <c r="L680" i="1" s="1"/>
  <c r="K681" i="1"/>
  <c r="L681" i="1" s="1"/>
  <c r="K682" i="1"/>
  <c r="L682" i="1" s="1"/>
  <c r="K683" i="1"/>
  <c r="L683" i="1" s="1"/>
  <c r="K684" i="1"/>
  <c r="L684" i="1" s="1"/>
  <c r="K685" i="1"/>
  <c r="L685" i="1" s="1"/>
  <c r="K686" i="1"/>
  <c r="L686" i="1" s="1"/>
  <c r="K687" i="1"/>
  <c r="L687" i="1" s="1"/>
  <c r="K688" i="1"/>
  <c r="L688" i="1" s="1"/>
  <c r="K689" i="1"/>
  <c r="L689" i="1" s="1"/>
  <c r="K690" i="1"/>
  <c r="L690" i="1" s="1"/>
  <c r="K691" i="1"/>
  <c r="L691" i="1" s="1"/>
  <c r="K692" i="1"/>
  <c r="L692" i="1" s="1"/>
  <c r="K693" i="1"/>
  <c r="L693" i="1" s="1"/>
  <c r="K694" i="1"/>
  <c r="L694" i="1" s="1"/>
  <c r="K695" i="1"/>
  <c r="L695" i="1" s="1"/>
  <c r="K696" i="1"/>
  <c r="L696" i="1" s="1"/>
  <c r="K697" i="1"/>
  <c r="L697" i="1" s="1"/>
  <c r="K698" i="1"/>
  <c r="L698" i="1" s="1"/>
  <c r="K699" i="1"/>
  <c r="L699" i="1" s="1"/>
  <c r="K700" i="1"/>
  <c r="L700" i="1" s="1"/>
  <c r="K701" i="1"/>
  <c r="L701" i="1" s="1"/>
  <c r="K702" i="1"/>
  <c r="L702" i="1" s="1"/>
  <c r="K703" i="1"/>
  <c r="L703" i="1" s="1"/>
  <c r="K704" i="1"/>
  <c r="L704" i="1" s="1"/>
  <c r="K705" i="1"/>
  <c r="L705" i="1" s="1"/>
  <c r="K706" i="1"/>
  <c r="L706" i="1" s="1"/>
  <c r="K707" i="1"/>
  <c r="L707" i="1" s="1"/>
  <c r="K708" i="1"/>
  <c r="L708" i="1" s="1"/>
  <c r="K709" i="1"/>
  <c r="L709" i="1" s="1"/>
  <c r="K710" i="1"/>
  <c r="L710" i="1" s="1"/>
  <c r="K711" i="1"/>
  <c r="L711" i="1" s="1"/>
  <c r="K712" i="1"/>
  <c r="L712" i="1" s="1"/>
  <c r="K713" i="1"/>
  <c r="L713" i="1" s="1"/>
  <c r="K714" i="1"/>
  <c r="L714" i="1" s="1"/>
  <c r="K715" i="1"/>
  <c r="L715" i="1" s="1"/>
  <c r="K716" i="1"/>
  <c r="L716" i="1" s="1"/>
  <c r="K717" i="1"/>
  <c r="L717" i="1" s="1"/>
  <c r="K718" i="1"/>
  <c r="L718" i="1" s="1"/>
  <c r="K719" i="1"/>
  <c r="L719" i="1" s="1"/>
  <c r="K720" i="1"/>
  <c r="L720" i="1" s="1"/>
  <c r="K721" i="1"/>
  <c r="L721" i="1" s="1"/>
  <c r="K722" i="1"/>
  <c r="L722" i="1" s="1"/>
  <c r="K723" i="1"/>
  <c r="L723" i="1" s="1"/>
  <c r="K724" i="1"/>
  <c r="L724" i="1" s="1"/>
  <c r="K725" i="1"/>
  <c r="L725" i="1" s="1"/>
  <c r="K726" i="1"/>
  <c r="L726" i="1" s="1"/>
  <c r="K727" i="1"/>
  <c r="L727" i="1" s="1"/>
  <c r="K728" i="1"/>
  <c r="L728" i="1" s="1"/>
  <c r="K729" i="1"/>
  <c r="L729" i="1" s="1"/>
  <c r="K730" i="1"/>
  <c r="L730" i="1" s="1"/>
  <c r="K731" i="1"/>
  <c r="L731" i="1" s="1"/>
  <c r="K732" i="1"/>
  <c r="L732" i="1" s="1"/>
  <c r="K733" i="1"/>
  <c r="L733" i="1" s="1"/>
  <c r="K734" i="1"/>
  <c r="L734" i="1" s="1"/>
  <c r="K735" i="1"/>
  <c r="L735" i="1" s="1"/>
  <c r="K736" i="1"/>
  <c r="L736" i="1" s="1"/>
  <c r="K737" i="1"/>
  <c r="L737" i="1" s="1"/>
  <c r="K738" i="1"/>
  <c r="L738" i="1" s="1"/>
  <c r="K739" i="1"/>
  <c r="L739" i="1" s="1"/>
  <c r="K740" i="1"/>
  <c r="L740" i="1" s="1"/>
  <c r="K741" i="1"/>
  <c r="L741" i="1" s="1"/>
  <c r="K742" i="1"/>
  <c r="L742" i="1" s="1"/>
  <c r="K743" i="1"/>
  <c r="L743" i="1" s="1"/>
  <c r="K744" i="1"/>
  <c r="L744" i="1" s="1"/>
  <c r="K745" i="1"/>
  <c r="L745" i="1" s="1"/>
  <c r="K746" i="1"/>
  <c r="L746" i="1" s="1"/>
  <c r="K747" i="1"/>
  <c r="L747" i="1" s="1"/>
  <c r="K748" i="1"/>
  <c r="L748" i="1" s="1"/>
  <c r="K749" i="1"/>
  <c r="L749" i="1" s="1"/>
  <c r="K750" i="1"/>
  <c r="L750" i="1" s="1"/>
  <c r="K751" i="1"/>
  <c r="L751" i="1" s="1"/>
  <c r="K752" i="1"/>
  <c r="L752" i="1" s="1"/>
  <c r="K753" i="1"/>
  <c r="L753" i="1" s="1"/>
  <c r="K754" i="1"/>
  <c r="L754" i="1" s="1"/>
  <c r="K755" i="1"/>
  <c r="L755" i="1" s="1"/>
  <c r="K756" i="1"/>
  <c r="L756" i="1" s="1"/>
  <c r="K757" i="1"/>
  <c r="L757" i="1" s="1"/>
  <c r="K758" i="1"/>
  <c r="L758" i="1" s="1"/>
  <c r="K759" i="1"/>
  <c r="L759" i="1" s="1"/>
  <c r="K760" i="1"/>
  <c r="L760" i="1" s="1"/>
  <c r="K761" i="1"/>
  <c r="L761" i="1" s="1"/>
  <c r="K762" i="1"/>
  <c r="L762" i="1" s="1"/>
  <c r="K763" i="1"/>
  <c r="L763" i="1" s="1"/>
  <c r="K764" i="1"/>
  <c r="L764" i="1" s="1"/>
  <c r="K765" i="1"/>
  <c r="L765" i="1" s="1"/>
  <c r="K766" i="1"/>
  <c r="L766" i="1" s="1"/>
  <c r="K767" i="1"/>
  <c r="L767" i="1" s="1"/>
  <c r="K768" i="1"/>
  <c r="L768" i="1" s="1"/>
  <c r="K769" i="1"/>
  <c r="L769" i="1" s="1"/>
  <c r="K770" i="1"/>
  <c r="L770" i="1" s="1"/>
  <c r="K771" i="1"/>
  <c r="L771" i="1" s="1"/>
  <c r="K772" i="1"/>
  <c r="L772" i="1" s="1"/>
  <c r="K773" i="1"/>
  <c r="L773" i="1" s="1"/>
  <c r="K774" i="1"/>
  <c r="L774" i="1" s="1"/>
  <c r="K775" i="1"/>
  <c r="L775" i="1" s="1"/>
  <c r="K776" i="1"/>
  <c r="L776" i="1" s="1"/>
  <c r="K777" i="1"/>
  <c r="L777" i="1" s="1"/>
  <c r="K778" i="1"/>
  <c r="L778" i="1" s="1"/>
  <c r="K779" i="1"/>
  <c r="L779" i="1" s="1"/>
  <c r="K780" i="1"/>
  <c r="L780" i="1" s="1"/>
  <c r="K781" i="1"/>
  <c r="L781" i="1" s="1"/>
  <c r="K782" i="1"/>
  <c r="L782" i="1" s="1"/>
  <c r="K783" i="1"/>
  <c r="L783" i="1" s="1"/>
  <c r="K784" i="1"/>
  <c r="L784" i="1" s="1"/>
  <c r="K785" i="1"/>
  <c r="L785" i="1" s="1"/>
  <c r="K786" i="1"/>
  <c r="L786" i="1" s="1"/>
  <c r="K787" i="1"/>
  <c r="L787" i="1" s="1"/>
  <c r="K788" i="1"/>
  <c r="L788" i="1" s="1"/>
  <c r="K789" i="1"/>
  <c r="L789" i="1" s="1"/>
  <c r="K790" i="1"/>
  <c r="L790" i="1" s="1"/>
  <c r="K791" i="1"/>
  <c r="L791" i="1" s="1"/>
  <c r="K792" i="1"/>
  <c r="L792" i="1" s="1"/>
  <c r="K793" i="1"/>
  <c r="L793" i="1" s="1"/>
  <c r="K794" i="1"/>
  <c r="L794" i="1" s="1"/>
  <c r="K795" i="1"/>
  <c r="L795" i="1" s="1"/>
  <c r="K796" i="1"/>
  <c r="L796" i="1" s="1"/>
  <c r="K797" i="1"/>
  <c r="L797" i="1" s="1"/>
  <c r="K798" i="1"/>
  <c r="L798" i="1" s="1"/>
  <c r="K799" i="1"/>
  <c r="L799" i="1" s="1"/>
  <c r="K800" i="1"/>
  <c r="L800" i="1" s="1"/>
  <c r="K801" i="1"/>
  <c r="L801" i="1" s="1"/>
  <c r="K802" i="1"/>
  <c r="L802" i="1" s="1"/>
  <c r="K803" i="1"/>
  <c r="L803" i="1" s="1"/>
  <c r="K804" i="1"/>
  <c r="L804" i="1" s="1"/>
  <c r="K805" i="1"/>
  <c r="L805" i="1" s="1"/>
  <c r="K806" i="1"/>
  <c r="L806" i="1" s="1"/>
  <c r="K807" i="1"/>
  <c r="L807" i="1" s="1"/>
  <c r="K808" i="1"/>
  <c r="L808" i="1" s="1"/>
  <c r="K809" i="1"/>
  <c r="L809" i="1" s="1"/>
  <c r="K810" i="1"/>
  <c r="L810" i="1" s="1"/>
  <c r="K811" i="1"/>
  <c r="L811" i="1" s="1"/>
  <c r="K812" i="1"/>
  <c r="L812" i="1" s="1"/>
  <c r="K813" i="1"/>
  <c r="L813" i="1" s="1"/>
  <c r="K814" i="1"/>
  <c r="L814" i="1" s="1"/>
  <c r="K815" i="1"/>
  <c r="L815" i="1" s="1"/>
  <c r="K816" i="1"/>
  <c r="L816" i="1" s="1"/>
  <c r="K817" i="1"/>
  <c r="L817" i="1" s="1"/>
  <c r="K818" i="1"/>
  <c r="L818" i="1" s="1"/>
  <c r="K819" i="1"/>
  <c r="L819" i="1" s="1"/>
  <c r="K820" i="1"/>
  <c r="L820" i="1" s="1"/>
  <c r="K821" i="1"/>
  <c r="L821" i="1" s="1"/>
  <c r="K822" i="1"/>
  <c r="L822" i="1" s="1"/>
  <c r="K823" i="1"/>
  <c r="L823" i="1" s="1"/>
  <c r="K824" i="1"/>
  <c r="L824" i="1" s="1"/>
  <c r="K825" i="1"/>
  <c r="L825" i="1" s="1"/>
  <c r="K826" i="1"/>
  <c r="L826" i="1" s="1"/>
  <c r="K827" i="1"/>
  <c r="L827" i="1" s="1"/>
  <c r="K828" i="1"/>
  <c r="L828" i="1" s="1"/>
  <c r="K829" i="1"/>
  <c r="L829" i="1" s="1"/>
  <c r="K830" i="1"/>
  <c r="L830" i="1" s="1"/>
  <c r="K831" i="1"/>
  <c r="L831" i="1" s="1"/>
  <c r="K832" i="1"/>
  <c r="L832" i="1" s="1"/>
  <c r="K833" i="1"/>
  <c r="L833" i="1" s="1"/>
  <c r="K834" i="1"/>
  <c r="L834" i="1" s="1"/>
  <c r="K835" i="1"/>
  <c r="L835" i="1" s="1"/>
  <c r="K836" i="1"/>
  <c r="L836" i="1" s="1"/>
  <c r="K837" i="1"/>
  <c r="L837" i="1" s="1"/>
  <c r="K838" i="1"/>
  <c r="L838" i="1" s="1"/>
  <c r="K839" i="1"/>
  <c r="L839" i="1" s="1"/>
  <c r="K840" i="1"/>
  <c r="L840" i="1" s="1"/>
  <c r="K841" i="1"/>
  <c r="L841" i="1" s="1"/>
  <c r="K842" i="1"/>
  <c r="L842" i="1" s="1"/>
  <c r="K843" i="1"/>
  <c r="L843" i="1" s="1"/>
  <c r="K844" i="1"/>
  <c r="L844" i="1" s="1"/>
  <c r="K845" i="1"/>
  <c r="L845" i="1" s="1"/>
  <c r="K846" i="1"/>
  <c r="L846" i="1" s="1"/>
  <c r="K847" i="1"/>
  <c r="L847" i="1" s="1"/>
  <c r="K848" i="1"/>
  <c r="L848" i="1" s="1"/>
  <c r="K849" i="1"/>
  <c r="L849" i="1" s="1"/>
  <c r="K850" i="1"/>
  <c r="L850" i="1" s="1"/>
  <c r="K851" i="1"/>
  <c r="L851" i="1" s="1"/>
  <c r="K852" i="1"/>
  <c r="L852" i="1" s="1"/>
  <c r="K853" i="1"/>
  <c r="L853" i="1" s="1"/>
  <c r="K854" i="1"/>
  <c r="L854" i="1" s="1"/>
  <c r="K855" i="1"/>
  <c r="L855" i="1" s="1"/>
  <c r="K856" i="1"/>
  <c r="L856" i="1" s="1"/>
  <c r="K857" i="1"/>
  <c r="L857" i="1" s="1"/>
  <c r="K858" i="1"/>
  <c r="L858" i="1" s="1"/>
  <c r="K859" i="1"/>
  <c r="L859" i="1" s="1"/>
  <c r="K860" i="1"/>
  <c r="L860" i="1" s="1"/>
  <c r="K861" i="1"/>
  <c r="L861" i="1" s="1"/>
  <c r="K862" i="1"/>
  <c r="L862" i="1" s="1"/>
  <c r="K863" i="1"/>
  <c r="L863" i="1" s="1"/>
  <c r="K864" i="1"/>
  <c r="L864" i="1" s="1"/>
  <c r="K865" i="1"/>
  <c r="L865" i="1" s="1"/>
  <c r="K866" i="1"/>
  <c r="L866" i="1" s="1"/>
  <c r="K867" i="1"/>
  <c r="L867" i="1" s="1"/>
  <c r="K868" i="1"/>
  <c r="L868" i="1" s="1"/>
  <c r="K869" i="1"/>
  <c r="L869" i="1" s="1"/>
  <c r="K870" i="1"/>
  <c r="L870" i="1" s="1"/>
  <c r="K871" i="1"/>
  <c r="L871" i="1" s="1"/>
  <c r="K872" i="1"/>
  <c r="L872" i="1" s="1"/>
  <c r="K873" i="1"/>
  <c r="L873" i="1" s="1"/>
  <c r="K874" i="1"/>
  <c r="L874" i="1" s="1"/>
  <c r="K875" i="1"/>
  <c r="L875" i="1" s="1"/>
  <c r="K876" i="1"/>
  <c r="L876" i="1" s="1"/>
  <c r="K877" i="1"/>
  <c r="L877" i="1" s="1"/>
  <c r="K878" i="1"/>
  <c r="L878" i="1" s="1"/>
  <c r="K879" i="1"/>
  <c r="L879" i="1" s="1"/>
  <c r="K880" i="1"/>
  <c r="L880" i="1" s="1"/>
  <c r="K881" i="1"/>
  <c r="L881" i="1" s="1"/>
  <c r="K882" i="1"/>
  <c r="L882" i="1" s="1"/>
  <c r="K883" i="1"/>
  <c r="L883" i="1" s="1"/>
  <c r="K884" i="1"/>
  <c r="L884" i="1" s="1"/>
  <c r="K885" i="1"/>
  <c r="L885" i="1" s="1"/>
  <c r="K886" i="1"/>
  <c r="L886" i="1" s="1"/>
  <c r="K887" i="1"/>
  <c r="L887" i="1" s="1"/>
  <c r="K888" i="1"/>
  <c r="L888" i="1" s="1"/>
  <c r="K889" i="1"/>
  <c r="L889" i="1" s="1"/>
  <c r="K890" i="1"/>
  <c r="L890" i="1" s="1"/>
  <c r="K891" i="1"/>
  <c r="L891" i="1" s="1"/>
  <c r="K892" i="1"/>
  <c r="L892" i="1" s="1"/>
  <c r="K893" i="1"/>
  <c r="L893" i="1" s="1"/>
  <c r="K894" i="1"/>
  <c r="L894" i="1" s="1"/>
  <c r="K895" i="1"/>
  <c r="L895" i="1" s="1"/>
  <c r="K896" i="1"/>
  <c r="L896" i="1" s="1"/>
  <c r="K897" i="1"/>
  <c r="L897" i="1" s="1"/>
  <c r="K898" i="1"/>
  <c r="L898" i="1" s="1"/>
  <c r="K899" i="1"/>
  <c r="L899" i="1" s="1"/>
  <c r="K900" i="1"/>
  <c r="L900" i="1" s="1"/>
  <c r="K901" i="1"/>
  <c r="L901" i="1" s="1"/>
  <c r="K902" i="1"/>
  <c r="L902" i="1" s="1"/>
  <c r="K903" i="1"/>
  <c r="L903" i="1" s="1"/>
  <c r="K904" i="1"/>
  <c r="L904" i="1" s="1"/>
  <c r="K905" i="1"/>
  <c r="L905" i="1" s="1"/>
  <c r="K906" i="1"/>
  <c r="L906" i="1" s="1"/>
  <c r="K907" i="1"/>
  <c r="L907" i="1" s="1"/>
  <c r="K908" i="1"/>
  <c r="L908" i="1" s="1"/>
  <c r="K909" i="1"/>
  <c r="L909" i="1" s="1"/>
  <c r="K910" i="1"/>
  <c r="L910" i="1" s="1"/>
  <c r="K911" i="1"/>
  <c r="L911" i="1" s="1"/>
  <c r="K912" i="1"/>
  <c r="L912" i="1" s="1"/>
  <c r="K913" i="1"/>
  <c r="L913" i="1" s="1"/>
  <c r="K914" i="1"/>
  <c r="L914" i="1" s="1"/>
  <c r="K915" i="1"/>
  <c r="L915" i="1" s="1"/>
  <c r="K916" i="1"/>
  <c r="L916" i="1" s="1"/>
  <c r="K917" i="1"/>
  <c r="L917" i="1" s="1"/>
  <c r="K918" i="1"/>
  <c r="L918" i="1" s="1"/>
  <c r="K919" i="1"/>
  <c r="L919" i="1" s="1"/>
  <c r="K920" i="1"/>
  <c r="L920" i="1" s="1"/>
  <c r="K921" i="1"/>
  <c r="L921" i="1" s="1"/>
  <c r="K922" i="1"/>
  <c r="L922" i="1" s="1"/>
  <c r="K923" i="1"/>
  <c r="L923" i="1" s="1"/>
  <c r="K924" i="1"/>
  <c r="L924" i="1" s="1"/>
  <c r="K925" i="1"/>
  <c r="L925" i="1" s="1"/>
  <c r="K926" i="1"/>
  <c r="L926" i="1" s="1"/>
  <c r="K927" i="1"/>
  <c r="L927" i="1" s="1"/>
  <c r="K928" i="1"/>
  <c r="L928" i="1" s="1"/>
  <c r="K929" i="1"/>
  <c r="L929" i="1" s="1"/>
  <c r="K930" i="1"/>
  <c r="L930" i="1" s="1"/>
  <c r="K931" i="1"/>
  <c r="L931" i="1" s="1"/>
  <c r="K932" i="1"/>
  <c r="L932" i="1" s="1"/>
  <c r="K933" i="1"/>
  <c r="L933" i="1" s="1"/>
  <c r="K934" i="1"/>
  <c r="L934" i="1" s="1"/>
  <c r="K935" i="1"/>
  <c r="L935" i="1" s="1"/>
  <c r="K936" i="1"/>
  <c r="L936" i="1" s="1"/>
  <c r="K937" i="1"/>
  <c r="L937" i="1" s="1"/>
  <c r="K938" i="1"/>
  <c r="L938" i="1" s="1"/>
  <c r="K939" i="1"/>
  <c r="L939" i="1" s="1"/>
  <c r="K940" i="1"/>
  <c r="L940" i="1" s="1"/>
  <c r="K941" i="1"/>
  <c r="L941" i="1" s="1"/>
  <c r="K942" i="1"/>
  <c r="L942" i="1" s="1"/>
  <c r="K943" i="1"/>
  <c r="L943" i="1" s="1"/>
  <c r="K944" i="1"/>
  <c r="L944" i="1" s="1"/>
  <c r="K945" i="1"/>
  <c r="L945" i="1" s="1"/>
  <c r="K946" i="1"/>
  <c r="L946" i="1" s="1"/>
  <c r="K947" i="1"/>
  <c r="L947" i="1" s="1"/>
  <c r="K948" i="1"/>
  <c r="L948" i="1" s="1"/>
  <c r="K949" i="1"/>
  <c r="L949" i="1" s="1"/>
  <c r="K950" i="1"/>
  <c r="L950" i="1" s="1"/>
  <c r="K951" i="1"/>
  <c r="L951" i="1" s="1"/>
  <c r="K952" i="1"/>
  <c r="L952" i="1" s="1"/>
  <c r="K953" i="1"/>
  <c r="L953" i="1" s="1"/>
  <c r="K954" i="1"/>
  <c r="L954" i="1" s="1"/>
  <c r="K955" i="1"/>
  <c r="L955" i="1" s="1"/>
  <c r="K956" i="1"/>
  <c r="L956" i="1" s="1"/>
  <c r="K957" i="1"/>
  <c r="L957" i="1" s="1"/>
  <c r="K958" i="1"/>
  <c r="L958" i="1" s="1"/>
  <c r="K959" i="1"/>
  <c r="L959" i="1" s="1"/>
  <c r="K960" i="1"/>
  <c r="L960" i="1" s="1"/>
  <c r="K961" i="1"/>
  <c r="L961" i="1" s="1"/>
  <c r="K962" i="1"/>
  <c r="L962" i="1" s="1"/>
  <c r="K963" i="1"/>
  <c r="L963" i="1" s="1"/>
  <c r="K964" i="1"/>
  <c r="L964" i="1" s="1"/>
  <c r="K965" i="1"/>
  <c r="L965" i="1" s="1"/>
  <c r="K966" i="1"/>
  <c r="L966" i="1" s="1"/>
  <c r="K967" i="1"/>
  <c r="L967" i="1" s="1"/>
  <c r="K968" i="1"/>
  <c r="L968" i="1" s="1"/>
  <c r="K969" i="1"/>
  <c r="L969" i="1" s="1"/>
  <c r="K970" i="1"/>
  <c r="L970" i="1" s="1"/>
  <c r="K971" i="1"/>
  <c r="L971" i="1" s="1"/>
  <c r="K972" i="1"/>
  <c r="L972" i="1" s="1"/>
  <c r="K973" i="1"/>
  <c r="L973" i="1" s="1"/>
  <c r="K974" i="1"/>
  <c r="L974" i="1" s="1"/>
  <c r="K975" i="1"/>
  <c r="L975" i="1" s="1"/>
  <c r="K976" i="1"/>
  <c r="L976" i="1" s="1"/>
  <c r="K977" i="1"/>
  <c r="L977" i="1" s="1"/>
  <c r="K978" i="1"/>
  <c r="L978" i="1" s="1"/>
  <c r="K979" i="1"/>
  <c r="L979" i="1" s="1"/>
  <c r="K980" i="1"/>
  <c r="L980" i="1" s="1"/>
  <c r="K981" i="1"/>
  <c r="L981" i="1" s="1"/>
  <c r="K982" i="1"/>
  <c r="L982" i="1" s="1"/>
  <c r="K983" i="1"/>
  <c r="L983" i="1" s="1"/>
  <c r="K984" i="1"/>
  <c r="L984" i="1" s="1"/>
  <c r="K985" i="1"/>
  <c r="L985" i="1" s="1"/>
  <c r="K986" i="1"/>
  <c r="L986" i="1" s="1"/>
  <c r="K987" i="1"/>
  <c r="L987" i="1" s="1"/>
  <c r="K988" i="1"/>
  <c r="L988" i="1" s="1"/>
  <c r="K989" i="1"/>
  <c r="L989" i="1" s="1"/>
  <c r="K990" i="1"/>
  <c r="L990" i="1" s="1"/>
  <c r="K991" i="1"/>
  <c r="L991" i="1" s="1"/>
  <c r="K992" i="1"/>
  <c r="L992" i="1" s="1"/>
  <c r="K993" i="1"/>
  <c r="L993" i="1" s="1"/>
  <c r="K994" i="1"/>
  <c r="L994" i="1" s="1"/>
  <c r="K995" i="1"/>
  <c r="L995" i="1" s="1"/>
  <c r="K996" i="1"/>
  <c r="L996" i="1" s="1"/>
  <c r="K997" i="1"/>
  <c r="L997" i="1" s="1"/>
  <c r="K998" i="1"/>
  <c r="L998" i="1" s="1"/>
  <c r="K999" i="1"/>
  <c r="L999" i="1" s="1"/>
  <c r="K1000" i="1"/>
  <c r="L1000" i="1" s="1"/>
  <c r="K1001" i="1"/>
  <c r="L1001" i="1" s="1"/>
  <c r="K2" i="1"/>
  <c r="L2" i="1" s="1"/>
  <c r="J3" i="1"/>
  <c r="M3" i="1" s="1"/>
  <c r="J4" i="1"/>
  <c r="M4" i="1" s="1"/>
  <c r="J5" i="1"/>
  <c r="M5" i="1" s="1"/>
  <c r="J6" i="1"/>
  <c r="M6" i="1" s="1"/>
  <c r="J7" i="1"/>
  <c r="M7" i="1" s="1"/>
  <c r="J8" i="1"/>
  <c r="M8" i="1" s="1"/>
  <c r="J9" i="1"/>
  <c r="M9" i="1" s="1"/>
  <c r="J10" i="1"/>
  <c r="M10" i="1" s="1"/>
  <c r="J11" i="1"/>
  <c r="M11" i="1" s="1"/>
  <c r="J12" i="1"/>
  <c r="M12" i="1" s="1"/>
  <c r="J13" i="1"/>
  <c r="M13" i="1" s="1"/>
  <c r="J14" i="1"/>
  <c r="M14" i="1" s="1"/>
  <c r="J15" i="1"/>
  <c r="M15" i="1" s="1"/>
  <c r="J16" i="1"/>
  <c r="M16" i="1" s="1"/>
  <c r="J17" i="1"/>
  <c r="M17" i="1" s="1"/>
  <c r="J18" i="1"/>
  <c r="M18" i="1" s="1"/>
  <c r="J19" i="1"/>
  <c r="M19" i="1" s="1"/>
  <c r="J20" i="1"/>
  <c r="M20" i="1" s="1"/>
  <c r="J21" i="1"/>
  <c r="M21" i="1" s="1"/>
  <c r="J22" i="1"/>
  <c r="M22" i="1" s="1"/>
  <c r="J23" i="1"/>
  <c r="M23" i="1" s="1"/>
  <c r="J24" i="1"/>
  <c r="M24" i="1" s="1"/>
  <c r="J25" i="1"/>
  <c r="M25" i="1" s="1"/>
  <c r="J26" i="1"/>
  <c r="M26" i="1" s="1"/>
  <c r="J27" i="1"/>
  <c r="M27" i="1" s="1"/>
  <c r="J28" i="1"/>
  <c r="M28" i="1" s="1"/>
  <c r="J29" i="1"/>
  <c r="M29" i="1" s="1"/>
  <c r="J30" i="1"/>
  <c r="M30" i="1" s="1"/>
  <c r="J31" i="1"/>
  <c r="M31" i="1" s="1"/>
  <c r="J32" i="1"/>
  <c r="M32" i="1" s="1"/>
  <c r="J33" i="1"/>
  <c r="M33" i="1" s="1"/>
  <c r="J34" i="1"/>
  <c r="M34" i="1" s="1"/>
  <c r="J35" i="1"/>
  <c r="M35" i="1" s="1"/>
  <c r="J36" i="1"/>
  <c r="M36" i="1" s="1"/>
  <c r="J37" i="1"/>
  <c r="M37" i="1" s="1"/>
  <c r="J38" i="1"/>
  <c r="M38" i="1" s="1"/>
  <c r="J39" i="1"/>
  <c r="M39" i="1" s="1"/>
  <c r="J40" i="1"/>
  <c r="M40" i="1" s="1"/>
  <c r="J41" i="1"/>
  <c r="M41" i="1" s="1"/>
  <c r="J42" i="1"/>
  <c r="M42" i="1" s="1"/>
  <c r="J43" i="1"/>
  <c r="M43" i="1" s="1"/>
  <c r="J44" i="1"/>
  <c r="M44" i="1" s="1"/>
  <c r="J45" i="1"/>
  <c r="M45" i="1" s="1"/>
  <c r="J46" i="1"/>
  <c r="M46" i="1" s="1"/>
  <c r="J47" i="1"/>
  <c r="M47" i="1" s="1"/>
  <c r="J48" i="1"/>
  <c r="M48" i="1" s="1"/>
  <c r="J49" i="1"/>
  <c r="M49" i="1" s="1"/>
  <c r="J50" i="1"/>
  <c r="M50" i="1" s="1"/>
  <c r="J51" i="1"/>
  <c r="M51" i="1" s="1"/>
  <c r="J52" i="1"/>
  <c r="M52" i="1" s="1"/>
  <c r="J53" i="1"/>
  <c r="M53" i="1" s="1"/>
  <c r="J54" i="1"/>
  <c r="M54" i="1" s="1"/>
  <c r="J55" i="1"/>
  <c r="M55" i="1" s="1"/>
  <c r="J56" i="1"/>
  <c r="M56" i="1" s="1"/>
  <c r="J57" i="1"/>
  <c r="M57" i="1" s="1"/>
  <c r="J58" i="1"/>
  <c r="M58" i="1" s="1"/>
  <c r="J59" i="1"/>
  <c r="M59" i="1" s="1"/>
  <c r="J60" i="1"/>
  <c r="M60" i="1" s="1"/>
  <c r="J61" i="1"/>
  <c r="M61" i="1" s="1"/>
  <c r="J62" i="1"/>
  <c r="M62" i="1" s="1"/>
  <c r="J63" i="1"/>
  <c r="M63" i="1" s="1"/>
  <c r="J64" i="1"/>
  <c r="M64" i="1" s="1"/>
  <c r="J65" i="1"/>
  <c r="M65" i="1" s="1"/>
  <c r="J66" i="1"/>
  <c r="M66" i="1" s="1"/>
  <c r="J67" i="1"/>
  <c r="M67" i="1" s="1"/>
  <c r="J68" i="1"/>
  <c r="M68" i="1" s="1"/>
  <c r="J69" i="1"/>
  <c r="M69" i="1" s="1"/>
  <c r="J70" i="1"/>
  <c r="M70" i="1" s="1"/>
  <c r="J71" i="1"/>
  <c r="M71" i="1" s="1"/>
  <c r="J72" i="1"/>
  <c r="M72" i="1" s="1"/>
  <c r="J73" i="1"/>
  <c r="M73" i="1" s="1"/>
  <c r="J74" i="1"/>
  <c r="M74" i="1" s="1"/>
  <c r="J75" i="1"/>
  <c r="M75" i="1" s="1"/>
  <c r="J76" i="1"/>
  <c r="M76" i="1" s="1"/>
  <c r="J77" i="1"/>
  <c r="M77" i="1" s="1"/>
  <c r="J78" i="1"/>
  <c r="M78" i="1" s="1"/>
  <c r="J79" i="1"/>
  <c r="M79" i="1" s="1"/>
  <c r="J80" i="1"/>
  <c r="M80" i="1" s="1"/>
  <c r="J81" i="1"/>
  <c r="M81" i="1" s="1"/>
  <c r="J82" i="1"/>
  <c r="M82" i="1" s="1"/>
  <c r="J83" i="1"/>
  <c r="M83" i="1" s="1"/>
  <c r="J84" i="1"/>
  <c r="M84" i="1" s="1"/>
  <c r="J85" i="1"/>
  <c r="M85" i="1" s="1"/>
  <c r="J86" i="1"/>
  <c r="M86" i="1" s="1"/>
  <c r="J87" i="1"/>
  <c r="M87" i="1" s="1"/>
  <c r="J88" i="1"/>
  <c r="M88" i="1" s="1"/>
  <c r="J89" i="1"/>
  <c r="M89" i="1" s="1"/>
  <c r="J90" i="1"/>
  <c r="M90" i="1" s="1"/>
  <c r="J91" i="1"/>
  <c r="M91" i="1" s="1"/>
  <c r="J92" i="1"/>
  <c r="M92" i="1" s="1"/>
  <c r="J93" i="1"/>
  <c r="M93" i="1" s="1"/>
  <c r="J94" i="1"/>
  <c r="M94" i="1" s="1"/>
  <c r="J95" i="1"/>
  <c r="M95" i="1" s="1"/>
  <c r="J96" i="1"/>
  <c r="M96" i="1" s="1"/>
  <c r="J97" i="1"/>
  <c r="M97" i="1" s="1"/>
  <c r="J98" i="1"/>
  <c r="M98" i="1" s="1"/>
  <c r="J99" i="1"/>
  <c r="M99" i="1" s="1"/>
  <c r="J100" i="1"/>
  <c r="M100" i="1" s="1"/>
  <c r="J101" i="1"/>
  <c r="M101" i="1" s="1"/>
  <c r="J102" i="1"/>
  <c r="M102" i="1" s="1"/>
  <c r="J103" i="1"/>
  <c r="M103" i="1" s="1"/>
  <c r="J104" i="1"/>
  <c r="M104" i="1" s="1"/>
  <c r="J105" i="1"/>
  <c r="M105" i="1" s="1"/>
  <c r="J106" i="1"/>
  <c r="M106" i="1" s="1"/>
  <c r="J107" i="1"/>
  <c r="M107" i="1" s="1"/>
  <c r="J108" i="1"/>
  <c r="M108" i="1" s="1"/>
  <c r="J109" i="1"/>
  <c r="M109" i="1" s="1"/>
  <c r="J110" i="1"/>
  <c r="M110" i="1" s="1"/>
  <c r="J111" i="1"/>
  <c r="M111" i="1" s="1"/>
  <c r="J112" i="1"/>
  <c r="M112" i="1" s="1"/>
  <c r="J113" i="1"/>
  <c r="M113" i="1" s="1"/>
  <c r="J114" i="1"/>
  <c r="M114" i="1" s="1"/>
  <c r="J115" i="1"/>
  <c r="M115" i="1" s="1"/>
  <c r="J116" i="1"/>
  <c r="M116" i="1" s="1"/>
  <c r="J117" i="1"/>
  <c r="M117" i="1" s="1"/>
  <c r="J118" i="1"/>
  <c r="M118" i="1" s="1"/>
  <c r="J119" i="1"/>
  <c r="M119" i="1" s="1"/>
  <c r="J120" i="1"/>
  <c r="M120" i="1" s="1"/>
  <c r="J121" i="1"/>
  <c r="M121" i="1" s="1"/>
  <c r="J122" i="1"/>
  <c r="M122" i="1" s="1"/>
  <c r="J123" i="1"/>
  <c r="M123" i="1" s="1"/>
  <c r="J124" i="1"/>
  <c r="M124" i="1" s="1"/>
  <c r="J125" i="1"/>
  <c r="M125" i="1" s="1"/>
  <c r="J126" i="1"/>
  <c r="M126" i="1" s="1"/>
  <c r="J127" i="1"/>
  <c r="M127" i="1" s="1"/>
  <c r="J128" i="1"/>
  <c r="M128" i="1" s="1"/>
  <c r="J129" i="1"/>
  <c r="M129" i="1" s="1"/>
  <c r="J130" i="1"/>
  <c r="M130" i="1" s="1"/>
  <c r="J131" i="1"/>
  <c r="M131" i="1" s="1"/>
  <c r="J132" i="1"/>
  <c r="M132" i="1" s="1"/>
  <c r="J133" i="1"/>
  <c r="M133" i="1" s="1"/>
  <c r="J134" i="1"/>
  <c r="M134" i="1" s="1"/>
  <c r="J135" i="1"/>
  <c r="M135" i="1" s="1"/>
  <c r="J136" i="1"/>
  <c r="M136" i="1" s="1"/>
  <c r="J137" i="1"/>
  <c r="M137" i="1" s="1"/>
  <c r="J138" i="1"/>
  <c r="M138" i="1" s="1"/>
  <c r="J139" i="1"/>
  <c r="M139" i="1" s="1"/>
  <c r="J140" i="1"/>
  <c r="M140" i="1" s="1"/>
  <c r="J141" i="1"/>
  <c r="M141" i="1" s="1"/>
  <c r="J142" i="1"/>
  <c r="M142" i="1" s="1"/>
  <c r="J143" i="1"/>
  <c r="M143" i="1" s="1"/>
  <c r="J144" i="1"/>
  <c r="M144" i="1" s="1"/>
  <c r="J145" i="1"/>
  <c r="M145" i="1" s="1"/>
  <c r="J146" i="1"/>
  <c r="M146" i="1" s="1"/>
  <c r="J147" i="1"/>
  <c r="M147" i="1" s="1"/>
  <c r="J148" i="1"/>
  <c r="M148" i="1" s="1"/>
  <c r="J149" i="1"/>
  <c r="M149" i="1" s="1"/>
  <c r="J150" i="1"/>
  <c r="M150" i="1" s="1"/>
  <c r="J151" i="1"/>
  <c r="M151" i="1" s="1"/>
  <c r="J152" i="1"/>
  <c r="M152" i="1" s="1"/>
  <c r="J153" i="1"/>
  <c r="M153" i="1" s="1"/>
  <c r="J154" i="1"/>
  <c r="M154" i="1" s="1"/>
  <c r="J155" i="1"/>
  <c r="M155" i="1" s="1"/>
  <c r="J156" i="1"/>
  <c r="M156" i="1" s="1"/>
  <c r="J157" i="1"/>
  <c r="M157" i="1" s="1"/>
  <c r="J158" i="1"/>
  <c r="M158" i="1" s="1"/>
  <c r="J159" i="1"/>
  <c r="M159" i="1" s="1"/>
  <c r="J160" i="1"/>
  <c r="M160" i="1" s="1"/>
  <c r="J161" i="1"/>
  <c r="M161" i="1" s="1"/>
  <c r="J162" i="1"/>
  <c r="M162" i="1" s="1"/>
  <c r="J163" i="1"/>
  <c r="M163" i="1" s="1"/>
  <c r="J164" i="1"/>
  <c r="M164" i="1" s="1"/>
  <c r="J165" i="1"/>
  <c r="M165" i="1" s="1"/>
  <c r="J166" i="1"/>
  <c r="M166" i="1" s="1"/>
  <c r="J167" i="1"/>
  <c r="M167" i="1" s="1"/>
  <c r="J168" i="1"/>
  <c r="M168" i="1" s="1"/>
  <c r="J169" i="1"/>
  <c r="M169" i="1" s="1"/>
  <c r="J170" i="1"/>
  <c r="M170" i="1" s="1"/>
  <c r="J171" i="1"/>
  <c r="M171" i="1" s="1"/>
  <c r="J172" i="1"/>
  <c r="M172" i="1" s="1"/>
  <c r="J173" i="1"/>
  <c r="M173" i="1" s="1"/>
  <c r="J174" i="1"/>
  <c r="M174" i="1" s="1"/>
  <c r="J175" i="1"/>
  <c r="M175" i="1" s="1"/>
  <c r="J176" i="1"/>
  <c r="M176" i="1" s="1"/>
  <c r="J177" i="1"/>
  <c r="M177" i="1" s="1"/>
  <c r="J178" i="1"/>
  <c r="M178" i="1" s="1"/>
  <c r="J179" i="1"/>
  <c r="M179" i="1" s="1"/>
  <c r="J180" i="1"/>
  <c r="M180" i="1" s="1"/>
  <c r="J181" i="1"/>
  <c r="M181" i="1" s="1"/>
  <c r="J182" i="1"/>
  <c r="M182" i="1" s="1"/>
  <c r="J183" i="1"/>
  <c r="M183" i="1" s="1"/>
  <c r="J184" i="1"/>
  <c r="M184" i="1" s="1"/>
  <c r="J185" i="1"/>
  <c r="M185" i="1" s="1"/>
  <c r="J186" i="1"/>
  <c r="M186" i="1" s="1"/>
  <c r="J187" i="1"/>
  <c r="M187" i="1" s="1"/>
  <c r="J188" i="1"/>
  <c r="M188" i="1" s="1"/>
  <c r="J189" i="1"/>
  <c r="M189" i="1" s="1"/>
  <c r="J190" i="1"/>
  <c r="M190" i="1" s="1"/>
  <c r="J191" i="1"/>
  <c r="M191" i="1" s="1"/>
  <c r="J192" i="1"/>
  <c r="M192" i="1" s="1"/>
  <c r="J193" i="1"/>
  <c r="M193" i="1" s="1"/>
  <c r="J194" i="1"/>
  <c r="M194" i="1" s="1"/>
  <c r="J195" i="1"/>
  <c r="M195" i="1" s="1"/>
  <c r="J196" i="1"/>
  <c r="M196" i="1" s="1"/>
  <c r="J197" i="1"/>
  <c r="M197" i="1" s="1"/>
  <c r="J198" i="1"/>
  <c r="M198" i="1" s="1"/>
  <c r="J199" i="1"/>
  <c r="M199" i="1" s="1"/>
  <c r="J200" i="1"/>
  <c r="M200" i="1" s="1"/>
  <c r="J201" i="1"/>
  <c r="M201" i="1" s="1"/>
  <c r="J202" i="1"/>
  <c r="M202" i="1" s="1"/>
  <c r="J203" i="1"/>
  <c r="M203" i="1" s="1"/>
  <c r="J204" i="1"/>
  <c r="M204" i="1" s="1"/>
  <c r="J205" i="1"/>
  <c r="M205" i="1" s="1"/>
  <c r="J206" i="1"/>
  <c r="M206" i="1" s="1"/>
  <c r="J207" i="1"/>
  <c r="M207" i="1" s="1"/>
  <c r="J208" i="1"/>
  <c r="M208" i="1" s="1"/>
  <c r="J209" i="1"/>
  <c r="M209" i="1" s="1"/>
  <c r="J210" i="1"/>
  <c r="M210" i="1" s="1"/>
  <c r="J211" i="1"/>
  <c r="M211" i="1" s="1"/>
  <c r="J212" i="1"/>
  <c r="M212" i="1" s="1"/>
  <c r="J213" i="1"/>
  <c r="M213" i="1" s="1"/>
  <c r="J214" i="1"/>
  <c r="M214" i="1" s="1"/>
  <c r="J215" i="1"/>
  <c r="M215" i="1" s="1"/>
  <c r="J216" i="1"/>
  <c r="M216" i="1" s="1"/>
  <c r="J217" i="1"/>
  <c r="M217" i="1" s="1"/>
  <c r="J218" i="1"/>
  <c r="M218" i="1" s="1"/>
  <c r="J219" i="1"/>
  <c r="M219" i="1" s="1"/>
  <c r="J220" i="1"/>
  <c r="M220" i="1" s="1"/>
  <c r="J221" i="1"/>
  <c r="M221" i="1" s="1"/>
  <c r="J222" i="1"/>
  <c r="M222" i="1" s="1"/>
  <c r="J223" i="1"/>
  <c r="M223" i="1" s="1"/>
  <c r="J224" i="1"/>
  <c r="M224" i="1" s="1"/>
  <c r="J225" i="1"/>
  <c r="M225" i="1" s="1"/>
  <c r="J226" i="1"/>
  <c r="M226" i="1" s="1"/>
  <c r="J227" i="1"/>
  <c r="M227" i="1" s="1"/>
  <c r="J228" i="1"/>
  <c r="M228" i="1" s="1"/>
  <c r="J229" i="1"/>
  <c r="M229" i="1" s="1"/>
  <c r="J230" i="1"/>
  <c r="M230" i="1" s="1"/>
  <c r="J231" i="1"/>
  <c r="M231" i="1" s="1"/>
  <c r="J232" i="1"/>
  <c r="M232" i="1" s="1"/>
  <c r="J233" i="1"/>
  <c r="M233" i="1" s="1"/>
  <c r="J234" i="1"/>
  <c r="M234" i="1" s="1"/>
  <c r="J235" i="1"/>
  <c r="M235" i="1" s="1"/>
  <c r="J236" i="1"/>
  <c r="M236" i="1" s="1"/>
  <c r="J237" i="1"/>
  <c r="M237" i="1" s="1"/>
  <c r="J238" i="1"/>
  <c r="M238" i="1" s="1"/>
  <c r="J239" i="1"/>
  <c r="M239" i="1" s="1"/>
  <c r="J240" i="1"/>
  <c r="M240" i="1" s="1"/>
  <c r="J241" i="1"/>
  <c r="M241" i="1" s="1"/>
  <c r="J242" i="1"/>
  <c r="M242" i="1" s="1"/>
  <c r="J243" i="1"/>
  <c r="M243" i="1" s="1"/>
  <c r="J244" i="1"/>
  <c r="M244" i="1" s="1"/>
  <c r="J245" i="1"/>
  <c r="M245" i="1" s="1"/>
  <c r="J246" i="1"/>
  <c r="M246" i="1" s="1"/>
  <c r="J247" i="1"/>
  <c r="M247" i="1" s="1"/>
  <c r="J248" i="1"/>
  <c r="M248" i="1" s="1"/>
  <c r="J249" i="1"/>
  <c r="M249" i="1" s="1"/>
  <c r="J250" i="1"/>
  <c r="M250" i="1" s="1"/>
  <c r="J251" i="1"/>
  <c r="M251" i="1" s="1"/>
  <c r="J252" i="1"/>
  <c r="M252" i="1" s="1"/>
  <c r="J253" i="1"/>
  <c r="M253" i="1" s="1"/>
  <c r="J254" i="1"/>
  <c r="M254" i="1" s="1"/>
  <c r="J255" i="1"/>
  <c r="M255" i="1" s="1"/>
  <c r="J256" i="1"/>
  <c r="M256" i="1" s="1"/>
  <c r="J257" i="1"/>
  <c r="M257" i="1" s="1"/>
  <c r="J258" i="1"/>
  <c r="M258" i="1" s="1"/>
  <c r="J259" i="1"/>
  <c r="M259" i="1" s="1"/>
  <c r="J260" i="1"/>
  <c r="M260" i="1" s="1"/>
  <c r="J261" i="1"/>
  <c r="M261" i="1" s="1"/>
  <c r="J262" i="1"/>
  <c r="M262" i="1" s="1"/>
  <c r="J263" i="1"/>
  <c r="M263" i="1" s="1"/>
  <c r="J264" i="1"/>
  <c r="M264" i="1" s="1"/>
  <c r="J265" i="1"/>
  <c r="M265" i="1" s="1"/>
  <c r="J266" i="1"/>
  <c r="M266" i="1" s="1"/>
  <c r="J267" i="1"/>
  <c r="M267" i="1" s="1"/>
  <c r="J268" i="1"/>
  <c r="M268" i="1" s="1"/>
  <c r="J269" i="1"/>
  <c r="M269" i="1" s="1"/>
  <c r="J270" i="1"/>
  <c r="M270" i="1" s="1"/>
  <c r="J271" i="1"/>
  <c r="M271" i="1" s="1"/>
  <c r="J272" i="1"/>
  <c r="M272" i="1" s="1"/>
  <c r="J273" i="1"/>
  <c r="M273" i="1" s="1"/>
  <c r="J274" i="1"/>
  <c r="M274" i="1" s="1"/>
  <c r="J275" i="1"/>
  <c r="M275" i="1" s="1"/>
  <c r="J276" i="1"/>
  <c r="M276" i="1" s="1"/>
  <c r="J277" i="1"/>
  <c r="M277" i="1" s="1"/>
  <c r="J278" i="1"/>
  <c r="M278" i="1" s="1"/>
  <c r="J279" i="1"/>
  <c r="M279" i="1" s="1"/>
  <c r="J280" i="1"/>
  <c r="M280" i="1" s="1"/>
  <c r="J281" i="1"/>
  <c r="M281" i="1" s="1"/>
  <c r="J282" i="1"/>
  <c r="M282" i="1" s="1"/>
  <c r="J283" i="1"/>
  <c r="M283" i="1" s="1"/>
  <c r="J284" i="1"/>
  <c r="M284" i="1" s="1"/>
  <c r="J285" i="1"/>
  <c r="M285" i="1" s="1"/>
  <c r="J286" i="1"/>
  <c r="M286" i="1" s="1"/>
  <c r="J287" i="1"/>
  <c r="M287" i="1" s="1"/>
  <c r="J288" i="1"/>
  <c r="M288" i="1" s="1"/>
  <c r="J289" i="1"/>
  <c r="M289" i="1" s="1"/>
  <c r="J290" i="1"/>
  <c r="M290" i="1" s="1"/>
  <c r="J291" i="1"/>
  <c r="M291" i="1" s="1"/>
  <c r="J292" i="1"/>
  <c r="M292" i="1" s="1"/>
  <c r="J293" i="1"/>
  <c r="M293" i="1" s="1"/>
  <c r="J294" i="1"/>
  <c r="M294" i="1" s="1"/>
  <c r="J295" i="1"/>
  <c r="M295" i="1" s="1"/>
  <c r="J296" i="1"/>
  <c r="M296" i="1" s="1"/>
  <c r="J297" i="1"/>
  <c r="M297" i="1" s="1"/>
  <c r="J298" i="1"/>
  <c r="M298" i="1" s="1"/>
  <c r="J299" i="1"/>
  <c r="M299" i="1" s="1"/>
  <c r="J300" i="1"/>
  <c r="M300" i="1" s="1"/>
  <c r="J301" i="1"/>
  <c r="M301" i="1" s="1"/>
  <c r="J302" i="1"/>
  <c r="M302" i="1" s="1"/>
  <c r="J303" i="1"/>
  <c r="M303" i="1" s="1"/>
  <c r="J304" i="1"/>
  <c r="M304" i="1" s="1"/>
  <c r="J305" i="1"/>
  <c r="M305" i="1" s="1"/>
  <c r="J306" i="1"/>
  <c r="M306" i="1" s="1"/>
  <c r="J307" i="1"/>
  <c r="M307" i="1" s="1"/>
  <c r="J308" i="1"/>
  <c r="M308" i="1" s="1"/>
  <c r="J309" i="1"/>
  <c r="M309" i="1" s="1"/>
  <c r="J310" i="1"/>
  <c r="M310" i="1" s="1"/>
  <c r="J311" i="1"/>
  <c r="M311" i="1" s="1"/>
  <c r="J312" i="1"/>
  <c r="M312" i="1" s="1"/>
  <c r="J313" i="1"/>
  <c r="M313" i="1" s="1"/>
  <c r="J314" i="1"/>
  <c r="M314" i="1" s="1"/>
  <c r="J315" i="1"/>
  <c r="M315" i="1" s="1"/>
  <c r="J316" i="1"/>
  <c r="M316" i="1" s="1"/>
  <c r="J317" i="1"/>
  <c r="M317" i="1" s="1"/>
  <c r="J318" i="1"/>
  <c r="M318" i="1" s="1"/>
  <c r="J319" i="1"/>
  <c r="M319" i="1" s="1"/>
  <c r="J320" i="1"/>
  <c r="M320" i="1" s="1"/>
  <c r="J321" i="1"/>
  <c r="M321" i="1" s="1"/>
  <c r="J322" i="1"/>
  <c r="M322" i="1" s="1"/>
  <c r="J323" i="1"/>
  <c r="M323" i="1" s="1"/>
  <c r="J324" i="1"/>
  <c r="M324" i="1" s="1"/>
  <c r="J325" i="1"/>
  <c r="M325" i="1" s="1"/>
  <c r="J326" i="1"/>
  <c r="M326" i="1" s="1"/>
  <c r="J327" i="1"/>
  <c r="M327" i="1" s="1"/>
  <c r="J328" i="1"/>
  <c r="M328" i="1" s="1"/>
  <c r="J329" i="1"/>
  <c r="M329" i="1" s="1"/>
  <c r="J330" i="1"/>
  <c r="M330" i="1" s="1"/>
  <c r="J331" i="1"/>
  <c r="M331" i="1" s="1"/>
  <c r="J332" i="1"/>
  <c r="M332" i="1" s="1"/>
  <c r="J333" i="1"/>
  <c r="M333" i="1" s="1"/>
  <c r="J334" i="1"/>
  <c r="M334" i="1" s="1"/>
  <c r="J335" i="1"/>
  <c r="M335" i="1" s="1"/>
  <c r="J336" i="1"/>
  <c r="M336" i="1" s="1"/>
  <c r="J337" i="1"/>
  <c r="M337" i="1" s="1"/>
  <c r="J338" i="1"/>
  <c r="M338" i="1" s="1"/>
  <c r="J339" i="1"/>
  <c r="M339" i="1" s="1"/>
  <c r="J340" i="1"/>
  <c r="M340" i="1" s="1"/>
  <c r="J341" i="1"/>
  <c r="M341" i="1" s="1"/>
  <c r="J342" i="1"/>
  <c r="M342" i="1" s="1"/>
  <c r="J343" i="1"/>
  <c r="M343" i="1" s="1"/>
  <c r="J344" i="1"/>
  <c r="M344" i="1" s="1"/>
  <c r="J345" i="1"/>
  <c r="M345" i="1" s="1"/>
  <c r="J346" i="1"/>
  <c r="M346" i="1" s="1"/>
  <c r="J347" i="1"/>
  <c r="M347" i="1" s="1"/>
  <c r="J348" i="1"/>
  <c r="M348" i="1" s="1"/>
  <c r="J349" i="1"/>
  <c r="M349" i="1" s="1"/>
  <c r="J350" i="1"/>
  <c r="M350" i="1" s="1"/>
  <c r="J351" i="1"/>
  <c r="M351" i="1" s="1"/>
  <c r="J352" i="1"/>
  <c r="M352" i="1" s="1"/>
  <c r="J353" i="1"/>
  <c r="M353" i="1" s="1"/>
  <c r="J354" i="1"/>
  <c r="M354" i="1" s="1"/>
  <c r="J355" i="1"/>
  <c r="M355" i="1" s="1"/>
  <c r="J356" i="1"/>
  <c r="M356" i="1" s="1"/>
  <c r="J357" i="1"/>
  <c r="M357" i="1" s="1"/>
  <c r="J358" i="1"/>
  <c r="M358" i="1" s="1"/>
  <c r="J359" i="1"/>
  <c r="M359" i="1" s="1"/>
  <c r="J360" i="1"/>
  <c r="M360" i="1" s="1"/>
  <c r="J361" i="1"/>
  <c r="M361" i="1" s="1"/>
  <c r="J362" i="1"/>
  <c r="M362" i="1" s="1"/>
  <c r="J363" i="1"/>
  <c r="M363" i="1" s="1"/>
  <c r="J364" i="1"/>
  <c r="M364" i="1" s="1"/>
  <c r="J365" i="1"/>
  <c r="M365" i="1" s="1"/>
  <c r="J366" i="1"/>
  <c r="M366" i="1" s="1"/>
  <c r="J367" i="1"/>
  <c r="M367" i="1" s="1"/>
  <c r="J368" i="1"/>
  <c r="M368" i="1" s="1"/>
  <c r="J369" i="1"/>
  <c r="M369" i="1" s="1"/>
  <c r="J370" i="1"/>
  <c r="M370" i="1" s="1"/>
  <c r="J371" i="1"/>
  <c r="M371" i="1" s="1"/>
  <c r="J372" i="1"/>
  <c r="M372" i="1" s="1"/>
  <c r="J373" i="1"/>
  <c r="M373" i="1" s="1"/>
  <c r="J374" i="1"/>
  <c r="M374" i="1" s="1"/>
  <c r="J375" i="1"/>
  <c r="M375" i="1" s="1"/>
  <c r="J376" i="1"/>
  <c r="M376" i="1" s="1"/>
  <c r="J377" i="1"/>
  <c r="M377" i="1" s="1"/>
  <c r="J378" i="1"/>
  <c r="M378" i="1" s="1"/>
  <c r="J379" i="1"/>
  <c r="M379" i="1" s="1"/>
  <c r="J380" i="1"/>
  <c r="M380" i="1" s="1"/>
  <c r="J381" i="1"/>
  <c r="M381" i="1" s="1"/>
  <c r="J382" i="1"/>
  <c r="M382" i="1" s="1"/>
  <c r="J383" i="1"/>
  <c r="M383" i="1" s="1"/>
  <c r="J384" i="1"/>
  <c r="M384" i="1" s="1"/>
  <c r="J385" i="1"/>
  <c r="M385" i="1" s="1"/>
  <c r="J386" i="1"/>
  <c r="M386" i="1" s="1"/>
  <c r="J387" i="1"/>
  <c r="M387" i="1" s="1"/>
  <c r="J388" i="1"/>
  <c r="M388" i="1" s="1"/>
  <c r="J389" i="1"/>
  <c r="M389" i="1" s="1"/>
  <c r="J390" i="1"/>
  <c r="M390" i="1" s="1"/>
  <c r="J391" i="1"/>
  <c r="M391" i="1" s="1"/>
  <c r="J392" i="1"/>
  <c r="M392" i="1" s="1"/>
  <c r="J393" i="1"/>
  <c r="M393" i="1" s="1"/>
  <c r="J394" i="1"/>
  <c r="M394" i="1" s="1"/>
  <c r="J395" i="1"/>
  <c r="M395" i="1" s="1"/>
  <c r="J396" i="1"/>
  <c r="M396" i="1" s="1"/>
  <c r="J397" i="1"/>
  <c r="M397" i="1" s="1"/>
  <c r="J398" i="1"/>
  <c r="M398" i="1" s="1"/>
  <c r="J399" i="1"/>
  <c r="M399" i="1" s="1"/>
  <c r="J400" i="1"/>
  <c r="M400" i="1" s="1"/>
  <c r="J401" i="1"/>
  <c r="M401" i="1" s="1"/>
  <c r="J402" i="1"/>
  <c r="M402" i="1" s="1"/>
  <c r="J403" i="1"/>
  <c r="M403" i="1" s="1"/>
  <c r="J404" i="1"/>
  <c r="M404" i="1" s="1"/>
  <c r="J405" i="1"/>
  <c r="M405" i="1" s="1"/>
  <c r="J406" i="1"/>
  <c r="M406" i="1" s="1"/>
  <c r="J407" i="1"/>
  <c r="M407" i="1" s="1"/>
  <c r="J408" i="1"/>
  <c r="M408" i="1" s="1"/>
  <c r="J409" i="1"/>
  <c r="M409" i="1" s="1"/>
  <c r="J410" i="1"/>
  <c r="M410" i="1" s="1"/>
  <c r="J411" i="1"/>
  <c r="M411" i="1" s="1"/>
  <c r="J412" i="1"/>
  <c r="M412" i="1" s="1"/>
  <c r="J413" i="1"/>
  <c r="M413" i="1" s="1"/>
  <c r="J414" i="1"/>
  <c r="M414" i="1" s="1"/>
  <c r="J415" i="1"/>
  <c r="M415" i="1" s="1"/>
  <c r="J416" i="1"/>
  <c r="M416" i="1" s="1"/>
  <c r="J417" i="1"/>
  <c r="M417" i="1" s="1"/>
  <c r="J418" i="1"/>
  <c r="M418" i="1" s="1"/>
  <c r="J419" i="1"/>
  <c r="M419" i="1" s="1"/>
  <c r="J420" i="1"/>
  <c r="M420" i="1" s="1"/>
  <c r="J421" i="1"/>
  <c r="M421" i="1" s="1"/>
  <c r="J422" i="1"/>
  <c r="M422" i="1" s="1"/>
  <c r="J423" i="1"/>
  <c r="M423" i="1" s="1"/>
  <c r="J424" i="1"/>
  <c r="M424" i="1" s="1"/>
  <c r="J425" i="1"/>
  <c r="M425" i="1" s="1"/>
  <c r="J426" i="1"/>
  <c r="M426" i="1" s="1"/>
  <c r="J427" i="1"/>
  <c r="M427" i="1" s="1"/>
  <c r="J428" i="1"/>
  <c r="M428" i="1" s="1"/>
  <c r="J429" i="1"/>
  <c r="M429" i="1" s="1"/>
  <c r="J430" i="1"/>
  <c r="M430" i="1" s="1"/>
  <c r="J431" i="1"/>
  <c r="M431" i="1" s="1"/>
  <c r="J432" i="1"/>
  <c r="M432" i="1" s="1"/>
  <c r="J433" i="1"/>
  <c r="M433" i="1" s="1"/>
  <c r="J434" i="1"/>
  <c r="M434" i="1" s="1"/>
  <c r="J435" i="1"/>
  <c r="M435" i="1" s="1"/>
  <c r="J436" i="1"/>
  <c r="M436" i="1" s="1"/>
  <c r="J437" i="1"/>
  <c r="M437" i="1" s="1"/>
  <c r="J438" i="1"/>
  <c r="M438" i="1" s="1"/>
  <c r="J439" i="1"/>
  <c r="M439" i="1" s="1"/>
  <c r="J440" i="1"/>
  <c r="M440" i="1" s="1"/>
  <c r="J441" i="1"/>
  <c r="M441" i="1" s="1"/>
  <c r="J442" i="1"/>
  <c r="M442" i="1" s="1"/>
  <c r="J443" i="1"/>
  <c r="M443" i="1" s="1"/>
  <c r="J444" i="1"/>
  <c r="M444" i="1" s="1"/>
  <c r="J445" i="1"/>
  <c r="M445" i="1" s="1"/>
  <c r="J446" i="1"/>
  <c r="M446" i="1" s="1"/>
  <c r="J447" i="1"/>
  <c r="M447" i="1" s="1"/>
  <c r="J448" i="1"/>
  <c r="M448" i="1" s="1"/>
  <c r="J449" i="1"/>
  <c r="M449" i="1" s="1"/>
  <c r="J450" i="1"/>
  <c r="M450" i="1" s="1"/>
  <c r="J451" i="1"/>
  <c r="M451" i="1" s="1"/>
  <c r="J452" i="1"/>
  <c r="M452" i="1" s="1"/>
  <c r="J453" i="1"/>
  <c r="M453" i="1" s="1"/>
  <c r="J454" i="1"/>
  <c r="M454" i="1" s="1"/>
  <c r="J455" i="1"/>
  <c r="M455" i="1" s="1"/>
  <c r="J456" i="1"/>
  <c r="M456" i="1" s="1"/>
  <c r="J457" i="1"/>
  <c r="M457" i="1" s="1"/>
  <c r="J458" i="1"/>
  <c r="M458" i="1" s="1"/>
  <c r="J459" i="1"/>
  <c r="M459" i="1" s="1"/>
  <c r="J460" i="1"/>
  <c r="M460" i="1" s="1"/>
  <c r="J461" i="1"/>
  <c r="M461" i="1" s="1"/>
  <c r="J462" i="1"/>
  <c r="M462" i="1" s="1"/>
  <c r="J463" i="1"/>
  <c r="M463" i="1" s="1"/>
  <c r="J464" i="1"/>
  <c r="M464" i="1" s="1"/>
  <c r="J465" i="1"/>
  <c r="M465" i="1" s="1"/>
  <c r="J466" i="1"/>
  <c r="M466" i="1" s="1"/>
  <c r="J467" i="1"/>
  <c r="M467" i="1" s="1"/>
  <c r="J468" i="1"/>
  <c r="M468" i="1" s="1"/>
  <c r="J469" i="1"/>
  <c r="M469" i="1" s="1"/>
  <c r="J470" i="1"/>
  <c r="M470" i="1" s="1"/>
  <c r="J471" i="1"/>
  <c r="M471" i="1" s="1"/>
  <c r="J472" i="1"/>
  <c r="M472" i="1" s="1"/>
  <c r="J473" i="1"/>
  <c r="M473" i="1" s="1"/>
  <c r="J474" i="1"/>
  <c r="M474" i="1" s="1"/>
  <c r="J475" i="1"/>
  <c r="M475" i="1" s="1"/>
  <c r="J476" i="1"/>
  <c r="M476" i="1" s="1"/>
  <c r="J477" i="1"/>
  <c r="M477" i="1" s="1"/>
  <c r="J478" i="1"/>
  <c r="M478" i="1" s="1"/>
  <c r="J479" i="1"/>
  <c r="M479" i="1" s="1"/>
  <c r="J480" i="1"/>
  <c r="M480" i="1" s="1"/>
  <c r="J481" i="1"/>
  <c r="M481" i="1" s="1"/>
  <c r="J482" i="1"/>
  <c r="M482" i="1" s="1"/>
  <c r="J483" i="1"/>
  <c r="M483" i="1" s="1"/>
  <c r="J484" i="1"/>
  <c r="M484" i="1" s="1"/>
  <c r="J485" i="1"/>
  <c r="M485" i="1" s="1"/>
  <c r="J486" i="1"/>
  <c r="M486" i="1" s="1"/>
  <c r="J487" i="1"/>
  <c r="M487" i="1" s="1"/>
  <c r="J488" i="1"/>
  <c r="M488" i="1" s="1"/>
  <c r="J489" i="1"/>
  <c r="M489" i="1" s="1"/>
  <c r="J490" i="1"/>
  <c r="M490" i="1" s="1"/>
  <c r="J491" i="1"/>
  <c r="M491" i="1" s="1"/>
  <c r="J492" i="1"/>
  <c r="M492" i="1" s="1"/>
  <c r="J493" i="1"/>
  <c r="M493" i="1" s="1"/>
  <c r="J494" i="1"/>
  <c r="M494" i="1" s="1"/>
  <c r="J495" i="1"/>
  <c r="M495" i="1" s="1"/>
  <c r="J496" i="1"/>
  <c r="M496" i="1" s="1"/>
  <c r="J497" i="1"/>
  <c r="M497" i="1" s="1"/>
  <c r="J498" i="1"/>
  <c r="M498" i="1" s="1"/>
  <c r="J499" i="1"/>
  <c r="M499" i="1" s="1"/>
  <c r="J500" i="1"/>
  <c r="M500" i="1" s="1"/>
  <c r="J501" i="1"/>
  <c r="M501" i="1" s="1"/>
  <c r="J502" i="1"/>
  <c r="M502" i="1" s="1"/>
  <c r="J503" i="1"/>
  <c r="M503" i="1" s="1"/>
  <c r="J504" i="1"/>
  <c r="M504" i="1" s="1"/>
  <c r="J505" i="1"/>
  <c r="M505" i="1" s="1"/>
  <c r="J506" i="1"/>
  <c r="M506" i="1" s="1"/>
  <c r="J507" i="1"/>
  <c r="M507" i="1" s="1"/>
  <c r="J508" i="1"/>
  <c r="M508" i="1" s="1"/>
  <c r="J509" i="1"/>
  <c r="M509" i="1" s="1"/>
  <c r="J510" i="1"/>
  <c r="M510" i="1" s="1"/>
  <c r="J511" i="1"/>
  <c r="M511" i="1" s="1"/>
  <c r="J512" i="1"/>
  <c r="M512" i="1" s="1"/>
  <c r="J513" i="1"/>
  <c r="M513" i="1" s="1"/>
  <c r="J514" i="1"/>
  <c r="M514" i="1" s="1"/>
  <c r="J515" i="1"/>
  <c r="M515" i="1" s="1"/>
  <c r="J516" i="1"/>
  <c r="M516" i="1" s="1"/>
  <c r="J517" i="1"/>
  <c r="M517" i="1" s="1"/>
  <c r="J518" i="1"/>
  <c r="M518" i="1" s="1"/>
  <c r="J519" i="1"/>
  <c r="M519" i="1" s="1"/>
  <c r="J520" i="1"/>
  <c r="M520" i="1" s="1"/>
  <c r="J521" i="1"/>
  <c r="M521" i="1" s="1"/>
  <c r="J522" i="1"/>
  <c r="M522" i="1" s="1"/>
  <c r="J523" i="1"/>
  <c r="M523" i="1" s="1"/>
  <c r="J524" i="1"/>
  <c r="M524" i="1" s="1"/>
  <c r="J525" i="1"/>
  <c r="M525" i="1" s="1"/>
  <c r="J526" i="1"/>
  <c r="M526" i="1" s="1"/>
  <c r="J527" i="1"/>
  <c r="M527" i="1" s="1"/>
  <c r="J528" i="1"/>
  <c r="M528" i="1" s="1"/>
  <c r="J529" i="1"/>
  <c r="M529" i="1" s="1"/>
  <c r="J530" i="1"/>
  <c r="M530" i="1" s="1"/>
  <c r="J531" i="1"/>
  <c r="M531" i="1" s="1"/>
  <c r="J532" i="1"/>
  <c r="M532" i="1" s="1"/>
  <c r="J533" i="1"/>
  <c r="M533" i="1" s="1"/>
  <c r="J534" i="1"/>
  <c r="M534" i="1" s="1"/>
  <c r="J535" i="1"/>
  <c r="M535" i="1" s="1"/>
  <c r="J536" i="1"/>
  <c r="M536" i="1" s="1"/>
  <c r="J537" i="1"/>
  <c r="M537" i="1" s="1"/>
  <c r="J538" i="1"/>
  <c r="M538" i="1" s="1"/>
  <c r="J539" i="1"/>
  <c r="M539" i="1" s="1"/>
  <c r="J540" i="1"/>
  <c r="M540" i="1" s="1"/>
  <c r="J541" i="1"/>
  <c r="M541" i="1" s="1"/>
  <c r="J542" i="1"/>
  <c r="M542" i="1" s="1"/>
  <c r="J543" i="1"/>
  <c r="M543" i="1" s="1"/>
  <c r="J544" i="1"/>
  <c r="M544" i="1" s="1"/>
  <c r="J545" i="1"/>
  <c r="M545" i="1" s="1"/>
  <c r="J546" i="1"/>
  <c r="M546" i="1" s="1"/>
  <c r="J547" i="1"/>
  <c r="M547" i="1" s="1"/>
  <c r="J548" i="1"/>
  <c r="M548" i="1" s="1"/>
  <c r="J549" i="1"/>
  <c r="M549" i="1" s="1"/>
  <c r="J550" i="1"/>
  <c r="M550" i="1" s="1"/>
  <c r="J551" i="1"/>
  <c r="M551" i="1" s="1"/>
  <c r="J552" i="1"/>
  <c r="M552" i="1" s="1"/>
  <c r="J553" i="1"/>
  <c r="M553" i="1" s="1"/>
  <c r="J554" i="1"/>
  <c r="M554" i="1" s="1"/>
  <c r="J555" i="1"/>
  <c r="M555" i="1" s="1"/>
  <c r="J556" i="1"/>
  <c r="M556" i="1" s="1"/>
  <c r="J557" i="1"/>
  <c r="M557" i="1" s="1"/>
  <c r="J558" i="1"/>
  <c r="M558" i="1" s="1"/>
  <c r="J559" i="1"/>
  <c r="M559" i="1" s="1"/>
  <c r="J560" i="1"/>
  <c r="M560" i="1" s="1"/>
  <c r="J561" i="1"/>
  <c r="M561" i="1" s="1"/>
  <c r="J562" i="1"/>
  <c r="M562" i="1" s="1"/>
  <c r="J563" i="1"/>
  <c r="M563" i="1" s="1"/>
  <c r="J564" i="1"/>
  <c r="M564" i="1" s="1"/>
  <c r="J565" i="1"/>
  <c r="M565" i="1" s="1"/>
  <c r="J566" i="1"/>
  <c r="M566" i="1" s="1"/>
  <c r="J567" i="1"/>
  <c r="M567" i="1" s="1"/>
  <c r="J568" i="1"/>
  <c r="M568" i="1" s="1"/>
  <c r="J569" i="1"/>
  <c r="M569" i="1" s="1"/>
  <c r="J570" i="1"/>
  <c r="M570" i="1" s="1"/>
  <c r="J571" i="1"/>
  <c r="M571" i="1" s="1"/>
  <c r="J572" i="1"/>
  <c r="M572" i="1" s="1"/>
  <c r="J573" i="1"/>
  <c r="M573" i="1" s="1"/>
  <c r="J574" i="1"/>
  <c r="M574" i="1" s="1"/>
  <c r="J575" i="1"/>
  <c r="M575" i="1" s="1"/>
  <c r="J576" i="1"/>
  <c r="M576" i="1" s="1"/>
  <c r="J577" i="1"/>
  <c r="M577" i="1" s="1"/>
  <c r="J578" i="1"/>
  <c r="M578" i="1" s="1"/>
  <c r="J579" i="1"/>
  <c r="M579" i="1" s="1"/>
  <c r="J580" i="1"/>
  <c r="M580" i="1" s="1"/>
  <c r="J581" i="1"/>
  <c r="M581" i="1" s="1"/>
  <c r="J582" i="1"/>
  <c r="M582" i="1" s="1"/>
  <c r="J583" i="1"/>
  <c r="M583" i="1" s="1"/>
  <c r="J584" i="1"/>
  <c r="M584" i="1" s="1"/>
  <c r="J585" i="1"/>
  <c r="M585" i="1" s="1"/>
  <c r="J586" i="1"/>
  <c r="M586" i="1" s="1"/>
  <c r="J587" i="1"/>
  <c r="M587" i="1" s="1"/>
  <c r="J588" i="1"/>
  <c r="M588" i="1" s="1"/>
  <c r="J589" i="1"/>
  <c r="M589" i="1" s="1"/>
  <c r="J590" i="1"/>
  <c r="M590" i="1" s="1"/>
  <c r="J591" i="1"/>
  <c r="M591" i="1" s="1"/>
  <c r="J592" i="1"/>
  <c r="M592" i="1" s="1"/>
  <c r="J593" i="1"/>
  <c r="M593" i="1" s="1"/>
  <c r="J594" i="1"/>
  <c r="M594" i="1" s="1"/>
  <c r="J595" i="1"/>
  <c r="M595" i="1" s="1"/>
  <c r="J596" i="1"/>
  <c r="M596" i="1" s="1"/>
  <c r="J597" i="1"/>
  <c r="M597" i="1" s="1"/>
  <c r="J598" i="1"/>
  <c r="M598" i="1" s="1"/>
  <c r="J599" i="1"/>
  <c r="M599" i="1" s="1"/>
  <c r="J600" i="1"/>
  <c r="M600" i="1" s="1"/>
  <c r="J601" i="1"/>
  <c r="M601" i="1" s="1"/>
  <c r="J602" i="1"/>
  <c r="M602" i="1" s="1"/>
  <c r="J603" i="1"/>
  <c r="M603" i="1" s="1"/>
  <c r="J604" i="1"/>
  <c r="M604" i="1" s="1"/>
  <c r="J605" i="1"/>
  <c r="M605" i="1" s="1"/>
  <c r="J606" i="1"/>
  <c r="M606" i="1" s="1"/>
  <c r="J607" i="1"/>
  <c r="M607" i="1" s="1"/>
  <c r="J608" i="1"/>
  <c r="M608" i="1" s="1"/>
  <c r="J609" i="1"/>
  <c r="M609" i="1" s="1"/>
  <c r="J610" i="1"/>
  <c r="M610" i="1" s="1"/>
  <c r="J611" i="1"/>
  <c r="M611" i="1" s="1"/>
  <c r="J612" i="1"/>
  <c r="M612" i="1" s="1"/>
  <c r="J613" i="1"/>
  <c r="M613" i="1" s="1"/>
  <c r="J614" i="1"/>
  <c r="M614" i="1" s="1"/>
  <c r="J615" i="1"/>
  <c r="M615" i="1" s="1"/>
  <c r="J616" i="1"/>
  <c r="M616" i="1" s="1"/>
  <c r="J617" i="1"/>
  <c r="M617" i="1" s="1"/>
  <c r="J618" i="1"/>
  <c r="M618" i="1" s="1"/>
  <c r="J619" i="1"/>
  <c r="M619" i="1" s="1"/>
  <c r="J620" i="1"/>
  <c r="M620" i="1" s="1"/>
  <c r="J621" i="1"/>
  <c r="M621" i="1" s="1"/>
  <c r="J622" i="1"/>
  <c r="M622" i="1" s="1"/>
  <c r="J623" i="1"/>
  <c r="M623" i="1" s="1"/>
  <c r="J624" i="1"/>
  <c r="M624" i="1" s="1"/>
  <c r="J625" i="1"/>
  <c r="M625" i="1" s="1"/>
  <c r="J626" i="1"/>
  <c r="M626" i="1" s="1"/>
  <c r="J627" i="1"/>
  <c r="M627" i="1" s="1"/>
  <c r="J628" i="1"/>
  <c r="M628" i="1" s="1"/>
  <c r="J629" i="1"/>
  <c r="M629" i="1" s="1"/>
  <c r="J630" i="1"/>
  <c r="M630" i="1" s="1"/>
  <c r="J631" i="1"/>
  <c r="M631" i="1" s="1"/>
  <c r="J632" i="1"/>
  <c r="M632" i="1" s="1"/>
  <c r="J633" i="1"/>
  <c r="M633" i="1" s="1"/>
  <c r="J634" i="1"/>
  <c r="M634" i="1" s="1"/>
  <c r="J635" i="1"/>
  <c r="M635" i="1" s="1"/>
  <c r="J636" i="1"/>
  <c r="M636" i="1" s="1"/>
  <c r="J637" i="1"/>
  <c r="M637" i="1" s="1"/>
  <c r="J638" i="1"/>
  <c r="M638" i="1" s="1"/>
  <c r="J639" i="1"/>
  <c r="M639" i="1" s="1"/>
  <c r="J640" i="1"/>
  <c r="M640" i="1" s="1"/>
  <c r="J641" i="1"/>
  <c r="M641" i="1" s="1"/>
  <c r="J642" i="1"/>
  <c r="M642" i="1" s="1"/>
  <c r="J643" i="1"/>
  <c r="M643" i="1" s="1"/>
  <c r="J644" i="1"/>
  <c r="M644" i="1" s="1"/>
  <c r="J645" i="1"/>
  <c r="M645" i="1" s="1"/>
  <c r="J646" i="1"/>
  <c r="M646" i="1" s="1"/>
  <c r="J647" i="1"/>
  <c r="M647" i="1" s="1"/>
  <c r="J648" i="1"/>
  <c r="M648" i="1" s="1"/>
  <c r="J649" i="1"/>
  <c r="M649" i="1" s="1"/>
  <c r="J650" i="1"/>
  <c r="M650" i="1" s="1"/>
  <c r="J651" i="1"/>
  <c r="M651" i="1" s="1"/>
  <c r="J652" i="1"/>
  <c r="M652" i="1" s="1"/>
  <c r="J653" i="1"/>
  <c r="M653" i="1" s="1"/>
  <c r="J654" i="1"/>
  <c r="M654" i="1" s="1"/>
  <c r="J655" i="1"/>
  <c r="M655" i="1" s="1"/>
  <c r="J656" i="1"/>
  <c r="M656" i="1" s="1"/>
  <c r="J657" i="1"/>
  <c r="M657" i="1" s="1"/>
  <c r="J658" i="1"/>
  <c r="M658" i="1" s="1"/>
  <c r="J659" i="1"/>
  <c r="M659" i="1" s="1"/>
  <c r="J660" i="1"/>
  <c r="M660" i="1" s="1"/>
  <c r="J661" i="1"/>
  <c r="M661" i="1" s="1"/>
  <c r="J662" i="1"/>
  <c r="M662" i="1" s="1"/>
  <c r="J663" i="1"/>
  <c r="M663" i="1" s="1"/>
  <c r="J664" i="1"/>
  <c r="M664" i="1" s="1"/>
  <c r="J665" i="1"/>
  <c r="M665" i="1" s="1"/>
  <c r="J666" i="1"/>
  <c r="M666" i="1" s="1"/>
  <c r="J667" i="1"/>
  <c r="M667" i="1" s="1"/>
  <c r="J668" i="1"/>
  <c r="M668" i="1" s="1"/>
  <c r="J669" i="1"/>
  <c r="M669" i="1" s="1"/>
  <c r="J670" i="1"/>
  <c r="M670" i="1" s="1"/>
  <c r="J671" i="1"/>
  <c r="M671" i="1" s="1"/>
  <c r="J672" i="1"/>
  <c r="M672" i="1" s="1"/>
  <c r="J673" i="1"/>
  <c r="M673" i="1" s="1"/>
  <c r="J674" i="1"/>
  <c r="M674" i="1" s="1"/>
  <c r="J675" i="1"/>
  <c r="M675" i="1" s="1"/>
  <c r="J676" i="1"/>
  <c r="M676" i="1" s="1"/>
  <c r="J677" i="1"/>
  <c r="M677" i="1" s="1"/>
  <c r="J678" i="1"/>
  <c r="M678" i="1" s="1"/>
  <c r="J679" i="1"/>
  <c r="M679" i="1" s="1"/>
  <c r="J680" i="1"/>
  <c r="M680" i="1" s="1"/>
  <c r="J681" i="1"/>
  <c r="M681" i="1" s="1"/>
  <c r="J682" i="1"/>
  <c r="M682" i="1" s="1"/>
  <c r="J683" i="1"/>
  <c r="M683" i="1" s="1"/>
  <c r="J684" i="1"/>
  <c r="M684" i="1" s="1"/>
  <c r="J685" i="1"/>
  <c r="M685" i="1" s="1"/>
  <c r="J686" i="1"/>
  <c r="M686" i="1" s="1"/>
  <c r="J687" i="1"/>
  <c r="M687" i="1" s="1"/>
  <c r="J688" i="1"/>
  <c r="M688" i="1" s="1"/>
  <c r="J689" i="1"/>
  <c r="M689" i="1" s="1"/>
  <c r="J690" i="1"/>
  <c r="M690" i="1" s="1"/>
  <c r="J691" i="1"/>
  <c r="M691" i="1" s="1"/>
  <c r="J692" i="1"/>
  <c r="M692" i="1" s="1"/>
  <c r="J693" i="1"/>
  <c r="M693" i="1" s="1"/>
  <c r="J694" i="1"/>
  <c r="M694" i="1" s="1"/>
  <c r="J695" i="1"/>
  <c r="M695" i="1" s="1"/>
  <c r="J696" i="1"/>
  <c r="M696" i="1" s="1"/>
  <c r="J697" i="1"/>
  <c r="M697" i="1" s="1"/>
  <c r="J698" i="1"/>
  <c r="M698" i="1" s="1"/>
  <c r="J699" i="1"/>
  <c r="M699" i="1" s="1"/>
  <c r="J700" i="1"/>
  <c r="M700" i="1" s="1"/>
  <c r="J701" i="1"/>
  <c r="M701" i="1" s="1"/>
  <c r="J702" i="1"/>
  <c r="M702" i="1" s="1"/>
  <c r="J703" i="1"/>
  <c r="M703" i="1" s="1"/>
  <c r="J704" i="1"/>
  <c r="M704" i="1" s="1"/>
  <c r="J705" i="1"/>
  <c r="M705" i="1" s="1"/>
  <c r="J706" i="1"/>
  <c r="M706" i="1" s="1"/>
  <c r="J707" i="1"/>
  <c r="M707" i="1" s="1"/>
  <c r="J708" i="1"/>
  <c r="M708" i="1" s="1"/>
  <c r="J709" i="1"/>
  <c r="M709" i="1" s="1"/>
  <c r="J710" i="1"/>
  <c r="M710" i="1" s="1"/>
  <c r="J711" i="1"/>
  <c r="M711" i="1" s="1"/>
  <c r="J712" i="1"/>
  <c r="M712" i="1" s="1"/>
  <c r="J713" i="1"/>
  <c r="M713" i="1" s="1"/>
  <c r="J714" i="1"/>
  <c r="M714" i="1" s="1"/>
  <c r="J715" i="1"/>
  <c r="M715" i="1" s="1"/>
  <c r="J716" i="1"/>
  <c r="M716" i="1" s="1"/>
  <c r="J717" i="1"/>
  <c r="M717" i="1" s="1"/>
  <c r="J718" i="1"/>
  <c r="M718" i="1" s="1"/>
  <c r="J719" i="1"/>
  <c r="M719" i="1" s="1"/>
  <c r="J720" i="1"/>
  <c r="M720" i="1" s="1"/>
  <c r="J721" i="1"/>
  <c r="M721" i="1" s="1"/>
  <c r="J722" i="1"/>
  <c r="M722" i="1" s="1"/>
  <c r="J723" i="1"/>
  <c r="M723" i="1" s="1"/>
  <c r="J724" i="1"/>
  <c r="M724" i="1" s="1"/>
  <c r="J725" i="1"/>
  <c r="M725" i="1" s="1"/>
  <c r="J726" i="1"/>
  <c r="M726" i="1" s="1"/>
  <c r="J727" i="1"/>
  <c r="M727" i="1" s="1"/>
  <c r="J728" i="1"/>
  <c r="M728" i="1" s="1"/>
  <c r="J729" i="1"/>
  <c r="M729" i="1" s="1"/>
  <c r="J730" i="1"/>
  <c r="M730" i="1" s="1"/>
  <c r="J731" i="1"/>
  <c r="M731" i="1" s="1"/>
  <c r="J732" i="1"/>
  <c r="M732" i="1" s="1"/>
  <c r="J733" i="1"/>
  <c r="M733" i="1" s="1"/>
  <c r="J734" i="1"/>
  <c r="M734" i="1" s="1"/>
  <c r="J735" i="1"/>
  <c r="M735" i="1" s="1"/>
  <c r="J736" i="1"/>
  <c r="M736" i="1" s="1"/>
  <c r="J737" i="1"/>
  <c r="M737" i="1" s="1"/>
  <c r="J738" i="1"/>
  <c r="M738" i="1" s="1"/>
  <c r="J739" i="1"/>
  <c r="M739" i="1" s="1"/>
  <c r="J740" i="1"/>
  <c r="M740" i="1" s="1"/>
  <c r="J741" i="1"/>
  <c r="M741" i="1" s="1"/>
  <c r="J742" i="1"/>
  <c r="M742" i="1" s="1"/>
  <c r="J743" i="1"/>
  <c r="M743" i="1" s="1"/>
  <c r="J744" i="1"/>
  <c r="M744" i="1" s="1"/>
  <c r="J745" i="1"/>
  <c r="M745" i="1" s="1"/>
  <c r="J746" i="1"/>
  <c r="M746" i="1" s="1"/>
  <c r="J747" i="1"/>
  <c r="M747" i="1" s="1"/>
  <c r="J748" i="1"/>
  <c r="M748" i="1" s="1"/>
  <c r="J749" i="1"/>
  <c r="M749" i="1" s="1"/>
  <c r="J750" i="1"/>
  <c r="M750" i="1" s="1"/>
  <c r="J751" i="1"/>
  <c r="M751" i="1" s="1"/>
  <c r="J752" i="1"/>
  <c r="M752" i="1" s="1"/>
  <c r="J753" i="1"/>
  <c r="M753" i="1" s="1"/>
  <c r="J754" i="1"/>
  <c r="M754" i="1" s="1"/>
  <c r="J755" i="1"/>
  <c r="M755" i="1" s="1"/>
  <c r="J756" i="1"/>
  <c r="M756" i="1" s="1"/>
  <c r="J757" i="1"/>
  <c r="M757" i="1" s="1"/>
  <c r="J758" i="1"/>
  <c r="M758" i="1" s="1"/>
  <c r="J759" i="1"/>
  <c r="M759" i="1" s="1"/>
  <c r="J760" i="1"/>
  <c r="M760" i="1" s="1"/>
  <c r="J761" i="1"/>
  <c r="M761" i="1" s="1"/>
  <c r="J762" i="1"/>
  <c r="M762" i="1" s="1"/>
  <c r="J763" i="1"/>
  <c r="M763" i="1" s="1"/>
  <c r="J764" i="1"/>
  <c r="M764" i="1" s="1"/>
  <c r="J765" i="1"/>
  <c r="M765" i="1" s="1"/>
  <c r="J766" i="1"/>
  <c r="M766" i="1" s="1"/>
  <c r="J767" i="1"/>
  <c r="M767" i="1" s="1"/>
  <c r="J768" i="1"/>
  <c r="M768" i="1" s="1"/>
  <c r="J769" i="1"/>
  <c r="M769" i="1" s="1"/>
  <c r="J770" i="1"/>
  <c r="M770" i="1" s="1"/>
  <c r="J771" i="1"/>
  <c r="M771" i="1" s="1"/>
  <c r="J772" i="1"/>
  <c r="M772" i="1" s="1"/>
  <c r="J773" i="1"/>
  <c r="M773" i="1" s="1"/>
  <c r="J774" i="1"/>
  <c r="M774" i="1" s="1"/>
  <c r="J775" i="1"/>
  <c r="M775" i="1" s="1"/>
  <c r="J776" i="1"/>
  <c r="M776" i="1" s="1"/>
  <c r="J777" i="1"/>
  <c r="M777" i="1" s="1"/>
  <c r="J778" i="1"/>
  <c r="M778" i="1" s="1"/>
  <c r="J779" i="1"/>
  <c r="M779" i="1" s="1"/>
  <c r="J780" i="1"/>
  <c r="M780" i="1" s="1"/>
  <c r="J781" i="1"/>
  <c r="M781" i="1" s="1"/>
  <c r="J782" i="1"/>
  <c r="M782" i="1" s="1"/>
  <c r="J783" i="1"/>
  <c r="M783" i="1" s="1"/>
  <c r="J784" i="1"/>
  <c r="M784" i="1" s="1"/>
  <c r="J785" i="1"/>
  <c r="M785" i="1" s="1"/>
  <c r="J786" i="1"/>
  <c r="M786" i="1" s="1"/>
  <c r="J787" i="1"/>
  <c r="M787" i="1" s="1"/>
  <c r="J788" i="1"/>
  <c r="M788" i="1" s="1"/>
  <c r="J789" i="1"/>
  <c r="M789" i="1" s="1"/>
  <c r="J790" i="1"/>
  <c r="M790" i="1" s="1"/>
  <c r="J791" i="1"/>
  <c r="M791" i="1" s="1"/>
  <c r="J792" i="1"/>
  <c r="M792" i="1" s="1"/>
  <c r="J793" i="1"/>
  <c r="M793" i="1" s="1"/>
  <c r="J794" i="1"/>
  <c r="M794" i="1" s="1"/>
  <c r="J795" i="1"/>
  <c r="M795" i="1" s="1"/>
  <c r="J796" i="1"/>
  <c r="M796" i="1" s="1"/>
  <c r="J797" i="1"/>
  <c r="M797" i="1" s="1"/>
  <c r="J798" i="1"/>
  <c r="M798" i="1" s="1"/>
  <c r="J799" i="1"/>
  <c r="M799" i="1" s="1"/>
  <c r="J800" i="1"/>
  <c r="M800" i="1" s="1"/>
  <c r="J801" i="1"/>
  <c r="M801" i="1" s="1"/>
  <c r="J802" i="1"/>
  <c r="M802" i="1" s="1"/>
  <c r="J803" i="1"/>
  <c r="M803" i="1" s="1"/>
  <c r="J804" i="1"/>
  <c r="M804" i="1" s="1"/>
  <c r="J805" i="1"/>
  <c r="M805" i="1" s="1"/>
  <c r="J806" i="1"/>
  <c r="M806" i="1" s="1"/>
  <c r="J807" i="1"/>
  <c r="M807" i="1" s="1"/>
  <c r="J808" i="1"/>
  <c r="M808" i="1" s="1"/>
  <c r="J809" i="1"/>
  <c r="M809" i="1" s="1"/>
  <c r="J810" i="1"/>
  <c r="M810" i="1" s="1"/>
  <c r="J811" i="1"/>
  <c r="M811" i="1" s="1"/>
  <c r="J812" i="1"/>
  <c r="M812" i="1" s="1"/>
  <c r="J813" i="1"/>
  <c r="M813" i="1" s="1"/>
  <c r="J814" i="1"/>
  <c r="M814" i="1" s="1"/>
  <c r="J815" i="1"/>
  <c r="M815" i="1" s="1"/>
  <c r="J816" i="1"/>
  <c r="M816" i="1" s="1"/>
  <c r="J817" i="1"/>
  <c r="M817" i="1" s="1"/>
  <c r="J818" i="1"/>
  <c r="M818" i="1" s="1"/>
  <c r="J819" i="1"/>
  <c r="M819" i="1" s="1"/>
  <c r="J820" i="1"/>
  <c r="M820" i="1" s="1"/>
  <c r="J821" i="1"/>
  <c r="M821" i="1" s="1"/>
  <c r="J822" i="1"/>
  <c r="M822" i="1" s="1"/>
  <c r="J823" i="1"/>
  <c r="M823" i="1" s="1"/>
  <c r="J824" i="1"/>
  <c r="M824" i="1" s="1"/>
  <c r="J825" i="1"/>
  <c r="M825" i="1" s="1"/>
  <c r="J826" i="1"/>
  <c r="M826" i="1" s="1"/>
  <c r="J827" i="1"/>
  <c r="M827" i="1" s="1"/>
  <c r="J828" i="1"/>
  <c r="M828" i="1" s="1"/>
  <c r="J829" i="1"/>
  <c r="M829" i="1" s="1"/>
  <c r="J830" i="1"/>
  <c r="M830" i="1" s="1"/>
  <c r="J831" i="1"/>
  <c r="M831" i="1" s="1"/>
  <c r="J832" i="1"/>
  <c r="M832" i="1" s="1"/>
  <c r="J833" i="1"/>
  <c r="M833" i="1" s="1"/>
  <c r="J834" i="1"/>
  <c r="M834" i="1" s="1"/>
  <c r="J835" i="1"/>
  <c r="M835" i="1" s="1"/>
  <c r="J836" i="1"/>
  <c r="M836" i="1" s="1"/>
  <c r="J837" i="1"/>
  <c r="M837" i="1" s="1"/>
  <c r="J838" i="1"/>
  <c r="M838" i="1" s="1"/>
  <c r="J839" i="1"/>
  <c r="M839" i="1" s="1"/>
  <c r="J840" i="1"/>
  <c r="M840" i="1" s="1"/>
  <c r="J841" i="1"/>
  <c r="M841" i="1" s="1"/>
  <c r="J842" i="1"/>
  <c r="M842" i="1" s="1"/>
  <c r="J843" i="1"/>
  <c r="M843" i="1" s="1"/>
  <c r="J844" i="1"/>
  <c r="M844" i="1" s="1"/>
  <c r="J845" i="1"/>
  <c r="M845" i="1" s="1"/>
  <c r="J846" i="1"/>
  <c r="M846" i="1" s="1"/>
  <c r="J847" i="1"/>
  <c r="M847" i="1" s="1"/>
  <c r="J848" i="1"/>
  <c r="M848" i="1" s="1"/>
  <c r="J849" i="1"/>
  <c r="M849" i="1" s="1"/>
  <c r="J850" i="1"/>
  <c r="M850" i="1" s="1"/>
  <c r="J851" i="1"/>
  <c r="M851" i="1" s="1"/>
  <c r="J852" i="1"/>
  <c r="M852" i="1" s="1"/>
  <c r="J853" i="1"/>
  <c r="M853" i="1" s="1"/>
  <c r="J854" i="1"/>
  <c r="M854" i="1" s="1"/>
  <c r="J855" i="1"/>
  <c r="M855" i="1" s="1"/>
  <c r="J856" i="1"/>
  <c r="M856" i="1" s="1"/>
  <c r="J857" i="1"/>
  <c r="M857" i="1" s="1"/>
  <c r="J858" i="1"/>
  <c r="M858" i="1" s="1"/>
  <c r="J859" i="1"/>
  <c r="M859" i="1" s="1"/>
  <c r="J860" i="1"/>
  <c r="M860" i="1" s="1"/>
  <c r="J861" i="1"/>
  <c r="M861" i="1" s="1"/>
  <c r="J862" i="1"/>
  <c r="M862" i="1" s="1"/>
  <c r="J863" i="1"/>
  <c r="M863" i="1" s="1"/>
  <c r="J864" i="1"/>
  <c r="M864" i="1" s="1"/>
  <c r="J865" i="1"/>
  <c r="M865" i="1" s="1"/>
  <c r="J866" i="1"/>
  <c r="M866" i="1" s="1"/>
  <c r="J867" i="1"/>
  <c r="M867" i="1" s="1"/>
  <c r="J868" i="1"/>
  <c r="M868" i="1" s="1"/>
  <c r="J869" i="1"/>
  <c r="M869" i="1" s="1"/>
  <c r="J870" i="1"/>
  <c r="M870" i="1" s="1"/>
  <c r="J871" i="1"/>
  <c r="M871" i="1" s="1"/>
  <c r="J872" i="1"/>
  <c r="M872" i="1" s="1"/>
  <c r="J873" i="1"/>
  <c r="M873" i="1" s="1"/>
  <c r="J874" i="1"/>
  <c r="M874" i="1" s="1"/>
  <c r="J875" i="1"/>
  <c r="M875" i="1" s="1"/>
  <c r="J876" i="1"/>
  <c r="M876" i="1" s="1"/>
  <c r="J877" i="1"/>
  <c r="M877" i="1" s="1"/>
  <c r="J878" i="1"/>
  <c r="M878" i="1" s="1"/>
  <c r="J879" i="1"/>
  <c r="M879" i="1" s="1"/>
  <c r="J880" i="1"/>
  <c r="M880" i="1" s="1"/>
  <c r="J881" i="1"/>
  <c r="M881" i="1" s="1"/>
  <c r="J882" i="1"/>
  <c r="M882" i="1" s="1"/>
  <c r="J883" i="1"/>
  <c r="M883" i="1" s="1"/>
  <c r="J884" i="1"/>
  <c r="M884" i="1" s="1"/>
  <c r="J885" i="1"/>
  <c r="M885" i="1" s="1"/>
  <c r="J886" i="1"/>
  <c r="M886" i="1" s="1"/>
  <c r="J887" i="1"/>
  <c r="M887" i="1" s="1"/>
  <c r="J888" i="1"/>
  <c r="M888" i="1" s="1"/>
  <c r="J889" i="1"/>
  <c r="M889" i="1" s="1"/>
  <c r="J890" i="1"/>
  <c r="M890" i="1" s="1"/>
  <c r="J891" i="1"/>
  <c r="M891" i="1" s="1"/>
  <c r="J892" i="1"/>
  <c r="M892" i="1" s="1"/>
  <c r="J893" i="1"/>
  <c r="M893" i="1" s="1"/>
  <c r="J894" i="1"/>
  <c r="M894" i="1" s="1"/>
  <c r="J895" i="1"/>
  <c r="M895" i="1" s="1"/>
  <c r="J896" i="1"/>
  <c r="M896" i="1" s="1"/>
  <c r="J897" i="1"/>
  <c r="M897" i="1" s="1"/>
  <c r="J898" i="1"/>
  <c r="M898" i="1" s="1"/>
  <c r="J899" i="1"/>
  <c r="M899" i="1" s="1"/>
  <c r="J900" i="1"/>
  <c r="M900" i="1" s="1"/>
  <c r="J901" i="1"/>
  <c r="M901" i="1" s="1"/>
  <c r="J902" i="1"/>
  <c r="M902" i="1" s="1"/>
  <c r="J903" i="1"/>
  <c r="M903" i="1" s="1"/>
  <c r="J904" i="1"/>
  <c r="M904" i="1" s="1"/>
  <c r="J905" i="1"/>
  <c r="M905" i="1" s="1"/>
  <c r="J906" i="1"/>
  <c r="M906" i="1" s="1"/>
  <c r="J907" i="1"/>
  <c r="M907" i="1" s="1"/>
  <c r="J908" i="1"/>
  <c r="M908" i="1" s="1"/>
  <c r="J909" i="1"/>
  <c r="M909" i="1" s="1"/>
  <c r="J910" i="1"/>
  <c r="M910" i="1" s="1"/>
  <c r="J911" i="1"/>
  <c r="M911" i="1" s="1"/>
  <c r="J912" i="1"/>
  <c r="M912" i="1" s="1"/>
  <c r="J913" i="1"/>
  <c r="M913" i="1" s="1"/>
  <c r="J914" i="1"/>
  <c r="M914" i="1" s="1"/>
  <c r="J915" i="1"/>
  <c r="M915" i="1" s="1"/>
  <c r="J916" i="1"/>
  <c r="M916" i="1" s="1"/>
  <c r="J917" i="1"/>
  <c r="M917" i="1" s="1"/>
  <c r="J918" i="1"/>
  <c r="M918" i="1" s="1"/>
  <c r="J919" i="1"/>
  <c r="M919" i="1" s="1"/>
  <c r="J920" i="1"/>
  <c r="M920" i="1" s="1"/>
  <c r="J921" i="1"/>
  <c r="M921" i="1" s="1"/>
  <c r="J922" i="1"/>
  <c r="M922" i="1" s="1"/>
  <c r="J923" i="1"/>
  <c r="M923" i="1" s="1"/>
  <c r="J924" i="1"/>
  <c r="M924" i="1" s="1"/>
  <c r="J925" i="1"/>
  <c r="M925" i="1" s="1"/>
  <c r="J926" i="1"/>
  <c r="M926" i="1" s="1"/>
  <c r="J927" i="1"/>
  <c r="M927" i="1" s="1"/>
  <c r="J928" i="1"/>
  <c r="M928" i="1" s="1"/>
  <c r="J929" i="1"/>
  <c r="M929" i="1" s="1"/>
  <c r="J930" i="1"/>
  <c r="M930" i="1" s="1"/>
  <c r="J931" i="1"/>
  <c r="M931" i="1" s="1"/>
  <c r="J932" i="1"/>
  <c r="M932" i="1" s="1"/>
  <c r="J933" i="1"/>
  <c r="M933" i="1" s="1"/>
  <c r="J934" i="1"/>
  <c r="M934" i="1" s="1"/>
  <c r="J935" i="1"/>
  <c r="M935" i="1" s="1"/>
  <c r="J936" i="1"/>
  <c r="M936" i="1" s="1"/>
  <c r="J937" i="1"/>
  <c r="M937" i="1" s="1"/>
  <c r="J938" i="1"/>
  <c r="M938" i="1" s="1"/>
  <c r="J939" i="1"/>
  <c r="M939" i="1" s="1"/>
  <c r="J940" i="1"/>
  <c r="M940" i="1" s="1"/>
  <c r="J941" i="1"/>
  <c r="M941" i="1" s="1"/>
  <c r="J942" i="1"/>
  <c r="M942" i="1" s="1"/>
  <c r="J943" i="1"/>
  <c r="M943" i="1" s="1"/>
  <c r="J944" i="1"/>
  <c r="M944" i="1" s="1"/>
  <c r="J945" i="1"/>
  <c r="M945" i="1" s="1"/>
  <c r="J946" i="1"/>
  <c r="M946" i="1" s="1"/>
  <c r="J947" i="1"/>
  <c r="M947" i="1" s="1"/>
  <c r="J948" i="1"/>
  <c r="M948" i="1" s="1"/>
  <c r="J949" i="1"/>
  <c r="M949" i="1" s="1"/>
  <c r="J950" i="1"/>
  <c r="M950" i="1" s="1"/>
  <c r="J951" i="1"/>
  <c r="M951" i="1" s="1"/>
  <c r="J952" i="1"/>
  <c r="M952" i="1" s="1"/>
  <c r="J953" i="1"/>
  <c r="M953" i="1" s="1"/>
  <c r="J954" i="1"/>
  <c r="M954" i="1" s="1"/>
  <c r="J955" i="1"/>
  <c r="M955" i="1" s="1"/>
  <c r="J956" i="1"/>
  <c r="M956" i="1" s="1"/>
  <c r="J957" i="1"/>
  <c r="M957" i="1" s="1"/>
  <c r="J958" i="1"/>
  <c r="M958" i="1" s="1"/>
  <c r="J959" i="1"/>
  <c r="M959" i="1" s="1"/>
  <c r="J960" i="1"/>
  <c r="M960" i="1" s="1"/>
  <c r="J961" i="1"/>
  <c r="M961" i="1" s="1"/>
  <c r="J962" i="1"/>
  <c r="M962" i="1" s="1"/>
  <c r="J963" i="1"/>
  <c r="M963" i="1" s="1"/>
  <c r="J964" i="1"/>
  <c r="M964" i="1" s="1"/>
  <c r="J965" i="1"/>
  <c r="M965" i="1" s="1"/>
  <c r="J966" i="1"/>
  <c r="M966" i="1" s="1"/>
  <c r="J967" i="1"/>
  <c r="M967" i="1" s="1"/>
  <c r="J968" i="1"/>
  <c r="M968" i="1" s="1"/>
  <c r="J969" i="1"/>
  <c r="M969" i="1" s="1"/>
  <c r="J970" i="1"/>
  <c r="M970" i="1" s="1"/>
  <c r="J971" i="1"/>
  <c r="M971" i="1" s="1"/>
  <c r="J972" i="1"/>
  <c r="M972" i="1" s="1"/>
  <c r="J973" i="1"/>
  <c r="M973" i="1" s="1"/>
  <c r="J974" i="1"/>
  <c r="M974" i="1" s="1"/>
  <c r="J975" i="1"/>
  <c r="M975" i="1" s="1"/>
  <c r="J976" i="1"/>
  <c r="M976" i="1" s="1"/>
  <c r="J977" i="1"/>
  <c r="M977" i="1" s="1"/>
  <c r="J978" i="1"/>
  <c r="M978" i="1" s="1"/>
  <c r="J979" i="1"/>
  <c r="M979" i="1" s="1"/>
  <c r="J980" i="1"/>
  <c r="M980" i="1" s="1"/>
  <c r="J981" i="1"/>
  <c r="M981" i="1" s="1"/>
  <c r="J982" i="1"/>
  <c r="M982" i="1" s="1"/>
  <c r="J983" i="1"/>
  <c r="M983" i="1" s="1"/>
  <c r="J984" i="1"/>
  <c r="M984" i="1" s="1"/>
  <c r="J985" i="1"/>
  <c r="M985" i="1" s="1"/>
  <c r="J986" i="1"/>
  <c r="M986" i="1" s="1"/>
  <c r="J987" i="1"/>
  <c r="M987" i="1" s="1"/>
  <c r="J988" i="1"/>
  <c r="M988" i="1" s="1"/>
  <c r="J989" i="1"/>
  <c r="M989" i="1" s="1"/>
  <c r="J990" i="1"/>
  <c r="M990" i="1" s="1"/>
  <c r="J991" i="1"/>
  <c r="M991" i="1" s="1"/>
  <c r="J992" i="1"/>
  <c r="M992" i="1" s="1"/>
  <c r="J993" i="1"/>
  <c r="M993" i="1" s="1"/>
  <c r="J994" i="1"/>
  <c r="M994" i="1" s="1"/>
  <c r="J995" i="1"/>
  <c r="M995" i="1" s="1"/>
  <c r="J996" i="1"/>
  <c r="M996" i="1" s="1"/>
  <c r="J997" i="1"/>
  <c r="M997" i="1" s="1"/>
  <c r="J998" i="1"/>
  <c r="M998" i="1" s="1"/>
  <c r="J999" i="1"/>
  <c r="M999" i="1" s="1"/>
  <c r="J1000" i="1"/>
  <c r="M1000" i="1" s="1"/>
  <c r="J1001" i="1"/>
  <c r="M1001" i="1" s="1"/>
  <c r="J2" i="1"/>
  <c r="M2" i="1" s="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alcChain>
</file>

<file path=xl/sharedStrings.xml><?xml version="1.0" encoding="utf-8"?>
<sst xmlns="http://schemas.openxmlformats.org/spreadsheetml/2006/main" count="5102" uniqueCount="1419">
  <si>
    <t>ID Transaksi</t>
  </si>
  <si>
    <t>Tanggal</t>
  </si>
  <si>
    <t>Nama Pelanggan Raw</t>
  </si>
  <si>
    <t>Nama Pelanggan Clean</t>
  </si>
  <si>
    <t>Wilayah</t>
  </si>
  <si>
    <t>SKU</t>
  </si>
  <si>
    <t>Jumlah Beli</t>
  </si>
  <si>
    <t>Kategori</t>
  </si>
  <si>
    <t>Harga Jual</t>
  </si>
  <si>
    <t>Total Revenue</t>
  </si>
  <si>
    <t>Target Bulanan Kategori</t>
  </si>
  <si>
    <t>TXN-2025-001</t>
  </si>
  <si>
    <t>TXN-2025-002</t>
  </si>
  <si>
    <t>TXN-2025-003</t>
  </si>
  <si>
    <t>TXN-2025-004</t>
  </si>
  <si>
    <t>TXN-2025-005</t>
  </si>
  <si>
    <t>TXN-2025-006</t>
  </si>
  <si>
    <t>TXN-2025-007</t>
  </si>
  <si>
    <t>TXN-2025-008</t>
  </si>
  <si>
    <t>TXN-2025-009</t>
  </si>
  <si>
    <t>TXN-2025-010</t>
  </si>
  <si>
    <t>TXN-2025-011</t>
  </si>
  <si>
    <t>TXN-2025-012</t>
  </si>
  <si>
    <t>TXN-2025-013</t>
  </si>
  <si>
    <t>TXN-2025-014</t>
  </si>
  <si>
    <t>TXN-2025-015</t>
  </si>
  <si>
    <t>TXN-2025-016</t>
  </si>
  <si>
    <t>TXN-2025-017</t>
  </si>
  <si>
    <t>TXN-2025-018</t>
  </si>
  <si>
    <t>TXN-2025-019</t>
  </si>
  <si>
    <t>TXN-2025-020</t>
  </si>
  <si>
    <t>TXN-2025-021</t>
  </si>
  <si>
    <t>TXN-2025-022</t>
  </si>
  <si>
    <t>TXN-2025-023</t>
  </si>
  <si>
    <t>TXN-2025-024</t>
  </si>
  <si>
    <t>TXN-2025-025</t>
  </si>
  <si>
    <t>TXN-2025-026</t>
  </si>
  <si>
    <t>TXN-2025-027</t>
  </si>
  <si>
    <t>TXN-2025-028</t>
  </si>
  <si>
    <t>TXN-2025-029</t>
  </si>
  <si>
    <t>TXN-2025-030</t>
  </si>
  <si>
    <t>TXN-2025-031</t>
  </si>
  <si>
    <t>TXN-2025-032</t>
  </si>
  <si>
    <t>TXN-2025-033</t>
  </si>
  <si>
    <t>TXN-2025-034</t>
  </si>
  <si>
    <t>TXN-2025-035</t>
  </si>
  <si>
    <t>TXN-2025-036</t>
  </si>
  <si>
    <t>TXN-2025-037</t>
  </si>
  <si>
    <t>TXN-2025-038</t>
  </si>
  <si>
    <t>TXN-2025-039</t>
  </si>
  <si>
    <t>TXN-2025-040</t>
  </si>
  <si>
    <t>TXN-2025-041</t>
  </si>
  <si>
    <t>TXN-2025-042</t>
  </si>
  <si>
    <t>TXN-2025-043</t>
  </si>
  <si>
    <t>TXN-2025-044</t>
  </si>
  <si>
    <t>TXN-2025-045</t>
  </si>
  <si>
    <t>TXN-2025-046</t>
  </si>
  <si>
    <t>TXN-2025-047</t>
  </si>
  <si>
    <t>TXN-2025-048</t>
  </si>
  <si>
    <t>TXN-2025-049</t>
  </si>
  <si>
    <t>TXN-2025-050</t>
  </si>
  <si>
    <t>TXN-2025-051</t>
  </si>
  <si>
    <t>TXN-2025-052</t>
  </si>
  <si>
    <t>TXN-2025-053</t>
  </si>
  <si>
    <t>TXN-2025-054</t>
  </si>
  <si>
    <t>TXN-2025-055</t>
  </si>
  <si>
    <t>TXN-2025-056</t>
  </si>
  <si>
    <t>TXN-2025-057</t>
  </si>
  <si>
    <t>TXN-2025-058</t>
  </si>
  <si>
    <t>TXN-2025-059</t>
  </si>
  <si>
    <t>TXN-2025-060</t>
  </si>
  <si>
    <t>TXN-2025-061</t>
  </si>
  <si>
    <t>TXN-2025-062</t>
  </si>
  <si>
    <t>TXN-2025-063</t>
  </si>
  <si>
    <t>TXN-2025-064</t>
  </si>
  <si>
    <t>TXN-2025-065</t>
  </si>
  <si>
    <t>TXN-2025-066</t>
  </si>
  <si>
    <t>TXN-2025-067</t>
  </si>
  <si>
    <t>TXN-2025-068</t>
  </si>
  <si>
    <t>TXN-2025-069</t>
  </si>
  <si>
    <t>TXN-2025-070</t>
  </si>
  <si>
    <t>TXN-2025-071</t>
  </si>
  <si>
    <t>TXN-2025-072</t>
  </si>
  <si>
    <t>TXN-2025-073</t>
  </si>
  <si>
    <t>TXN-2025-074</t>
  </si>
  <si>
    <t>TXN-2025-075</t>
  </si>
  <si>
    <t>TXN-2025-076</t>
  </si>
  <si>
    <t>TXN-2025-077</t>
  </si>
  <si>
    <t>TXN-2025-078</t>
  </si>
  <si>
    <t>TXN-2025-079</t>
  </si>
  <si>
    <t>TXN-2025-080</t>
  </si>
  <si>
    <t>TXN-2025-081</t>
  </si>
  <si>
    <t>TXN-2025-082</t>
  </si>
  <si>
    <t>TXN-2025-083</t>
  </si>
  <si>
    <t>TXN-2025-084</t>
  </si>
  <si>
    <t>TXN-2025-085</t>
  </si>
  <si>
    <t>TXN-2025-086</t>
  </si>
  <si>
    <t>TXN-2025-087</t>
  </si>
  <si>
    <t>TXN-2025-088</t>
  </si>
  <si>
    <t>TXN-2025-089</t>
  </si>
  <si>
    <t>TXN-2025-090</t>
  </si>
  <si>
    <t>TXN-2025-091</t>
  </si>
  <si>
    <t>TXN-2025-092</t>
  </si>
  <si>
    <t>TXN-2025-093</t>
  </si>
  <si>
    <t>TXN-2025-094</t>
  </si>
  <si>
    <t>TXN-2025-095</t>
  </si>
  <si>
    <t>TXN-2025-096</t>
  </si>
  <si>
    <t>TXN-2025-097</t>
  </si>
  <si>
    <t>TXN-2025-098</t>
  </si>
  <si>
    <t>TXN-2025-099</t>
  </si>
  <si>
    <t>TXN-2025-100</t>
  </si>
  <si>
    <t>TXN-2025-101</t>
  </si>
  <si>
    <t>TXN-2025-102</t>
  </si>
  <si>
    <t>TXN-2025-103</t>
  </si>
  <si>
    <t>TXN-2025-104</t>
  </si>
  <si>
    <t>TXN-2025-105</t>
  </si>
  <si>
    <t>TXN-2025-106</t>
  </si>
  <si>
    <t>TXN-2025-107</t>
  </si>
  <si>
    <t>TXN-2025-108</t>
  </si>
  <si>
    <t>TXN-2025-109</t>
  </si>
  <si>
    <t>TXN-2025-110</t>
  </si>
  <si>
    <t>TXN-2025-111</t>
  </si>
  <si>
    <t>TXN-2025-112</t>
  </si>
  <si>
    <t>TXN-2025-113</t>
  </si>
  <si>
    <t>TXN-2025-114</t>
  </si>
  <si>
    <t>TXN-2025-115</t>
  </si>
  <si>
    <t>TXN-2025-116</t>
  </si>
  <si>
    <t>TXN-2025-117</t>
  </si>
  <si>
    <t>TXN-2025-118</t>
  </si>
  <si>
    <t>TXN-2025-119</t>
  </si>
  <si>
    <t>TXN-2025-120</t>
  </si>
  <si>
    <t>TXN-2025-121</t>
  </si>
  <si>
    <t>TXN-2025-122</t>
  </si>
  <si>
    <t>TXN-2025-123</t>
  </si>
  <si>
    <t>TXN-2025-124</t>
  </si>
  <si>
    <t>TXN-2025-125</t>
  </si>
  <si>
    <t>TXN-2025-126</t>
  </si>
  <si>
    <t>TXN-2025-127</t>
  </si>
  <si>
    <t>TXN-2025-128</t>
  </si>
  <si>
    <t>TXN-2025-129</t>
  </si>
  <si>
    <t>TXN-2025-130</t>
  </si>
  <si>
    <t>TXN-2025-131</t>
  </si>
  <si>
    <t>TXN-2025-132</t>
  </si>
  <si>
    <t>TXN-2025-133</t>
  </si>
  <si>
    <t>TXN-2025-134</t>
  </si>
  <si>
    <t>TXN-2025-135</t>
  </si>
  <si>
    <t>TXN-2025-136</t>
  </si>
  <si>
    <t>TXN-2025-137</t>
  </si>
  <si>
    <t>TXN-2025-138</t>
  </si>
  <si>
    <t>TXN-2025-139</t>
  </si>
  <si>
    <t>TXN-2025-140</t>
  </si>
  <si>
    <t>TXN-2025-141</t>
  </si>
  <si>
    <t>TXN-2025-142</t>
  </si>
  <si>
    <t>TXN-2025-143</t>
  </si>
  <si>
    <t>TXN-2025-144</t>
  </si>
  <si>
    <t>TXN-2025-145</t>
  </si>
  <si>
    <t>TXN-2025-146</t>
  </si>
  <si>
    <t>TXN-2025-147</t>
  </si>
  <si>
    <t>TXN-2025-148</t>
  </si>
  <si>
    <t>TXN-2025-149</t>
  </si>
  <si>
    <t>TXN-2025-150</t>
  </si>
  <si>
    <t>TXN-2025-151</t>
  </si>
  <si>
    <t>TXN-2025-152</t>
  </si>
  <si>
    <t>TXN-2025-153</t>
  </si>
  <si>
    <t>TXN-2025-154</t>
  </si>
  <si>
    <t>TXN-2025-155</t>
  </si>
  <si>
    <t>TXN-2025-156</t>
  </si>
  <si>
    <t>TXN-2025-157</t>
  </si>
  <si>
    <t>TXN-2025-158</t>
  </si>
  <si>
    <t>TXN-2025-159</t>
  </si>
  <si>
    <t>TXN-2025-160</t>
  </si>
  <si>
    <t>TXN-2025-161</t>
  </si>
  <si>
    <t>TXN-2025-162</t>
  </si>
  <si>
    <t>TXN-2025-163</t>
  </si>
  <si>
    <t>TXN-2025-164</t>
  </si>
  <si>
    <t>TXN-2025-165</t>
  </si>
  <si>
    <t>TXN-2025-166</t>
  </si>
  <si>
    <t>TXN-2025-167</t>
  </si>
  <si>
    <t>TXN-2025-168</t>
  </si>
  <si>
    <t>TXN-2025-169</t>
  </si>
  <si>
    <t>TXN-2025-170</t>
  </si>
  <si>
    <t>TXN-2025-171</t>
  </si>
  <si>
    <t>TXN-2025-172</t>
  </si>
  <si>
    <t>TXN-2025-173</t>
  </si>
  <si>
    <t>TXN-2025-174</t>
  </si>
  <si>
    <t>TXN-2025-175</t>
  </si>
  <si>
    <t>TXN-2025-176</t>
  </si>
  <si>
    <t>TXN-2025-177</t>
  </si>
  <si>
    <t>TXN-2025-178</t>
  </si>
  <si>
    <t>TXN-2025-179</t>
  </si>
  <si>
    <t>TXN-2025-180</t>
  </si>
  <si>
    <t>TXN-2025-181</t>
  </si>
  <si>
    <t>TXN-2025-182</t>
  </si>
  <si>
    <t>TXN-2025-183</t>
  </si>
  <si>
    <t>TXN-2025-184</t>
  </si>
  <si>
    <t>TXN-2025-185</t>
  </si>
  <si>
    <t>TXN-2025-186</t>
  </si>
  <si>
    <t>TXN-2025-187</t>
  </si>
  <si>
    <t>TXN-2025-188</t>
  </si>
  <si>
    <t>TXN-2025-189</t>
  </si>
  <si>
    <t>TXN-2025-190</t>
  </si>
  <si>
    <t>TXN-2025-191</t>
  </si>
  <si>
    <t>TXN-2025-192</t>
  </si>
  <si>
    <t>TXN-2025-193</t>
  </si>
  <si>
    <t>TXN-2025-194</t>
  </si>
  <si>
    <t>TXN-2025-195</t>
  </si>
  <si>
    <t>TXN-2025-196</t>
  </si>
  <si>
    <t>TXN-2025-197</t>
  </si>
  <si>
    <t>TXN-2025-198</t>
  </si>
  <si>
    <t>TXN-2025-199</t>
  </si>
  <si>
    <t>TXN-2025-200</t>
  </si>
  <si>
    <t>TXN-2025-201</t>
  </si>
  <si>
    <t>TXN-2025-202</t>
  </si>
  <si>
    <t>TXN-2025-203</t>
  </si>
  <si>
    <t>TXN-2025-204</t>
  </si>
  <si>
    <t>TXN-2025-205</t>
  </si>
  <si>
    <t>TXN-2025-206</t>
  </si>
  <si>
    <t>TXN-2025-207</t>
  </si>
  <si>
    <t>TXN-2025-208</t>
  </si>
  <si>
    <t>TXN-2025-209</t>
  </si>
  <si>
    <t>TXN-2025-210</t>
  </si>
  <si>
    <t>TXN-2025-211</t>
  </si>
  <si>
    <t>TXN-2025-212</t>
  </si>
  <si>
    <t>TXN-2025-213</t>
  </si>
  <si>
    <t>TXN-2025-214</t>
  </si>
  <si>
    <t>TXN-2025-215</t>
  </si>
  <si>
    <t>TXN-2025-216</t>
  </si>
  <si>
    <t>TXN-2025-217</t>
  </si>
  <si>
    <t>TXN-2025-218</t>
  </si>
  <si>
    <t>TXN-2025-219</t>
  </si>
  <si>
    <t>TXN-2025-220</t>
  </si>
  <si>
    <t>TXN-2025-221</t>
  </si>
  <si>
    <t>TXN-2025-222</t>
  </si>
  <si>
    <t>TXN-2025-223</t>
  </si>
  <si>
    <t>TXN-2025-224</t>
  </si>
  <si>
    <t>TXN-2025-225</t>
  </si>
  <si>
    <t>TXN-2025-226</t>
  </si>
  <si>
    <t>TXN-2025-227</t>
  </si>
  <si>
    <t>TXN-2025-228</t>
  </si>
  <si>
    <t>TXN-2025-229</t>
  </si>
  <si>
    <t>TXN-2025-230</t>
  </si>
  <si>
    <t>TXN-2025-231</t>
  </si>
  <si>
    <t>TXN-2025-232</t>
  </si>
  <si>
    <t>TXN-2025-233</t>
  </si>
  <si>
    <t>TXN-2025-234</t>
  </si>
  <si>
    <t>TXN-2025-235</t>
  </si>
  <si>
    <t>TXN-2025-236</t>
  </si>
  <si>
    <t>TXN-2025-237</t>
  </si>
  <si>
    <t>TXN-2025-238</t>
  </si>
  <si>
    <t>TXN-2025-239</t>
  </si>
  <si>
    <t>TXN-2025-240</t>
  </si>
  <si>
    <t>TXN-2025-241</t>
  </si>
  <si>
    <t>TXN-2025-242</t>
  </si>
  <si>
    <t>TXN-2025-243</t>
  </si>
  <si>
    <t>TXN-2025-244</t>
  </si>
  <si>
    <t>TXN-2025-245</t>
  </si>
  <si>
    <t>TXN-2025-246</t>
  </si>
  <si>
    <t>TXN-2025-247</t>
  </si>
  <si>
    <t>TXN-2025-248</t>
  </si>
  <si>
    <t>TXN-2025-249</t>
  </si>
  <si>
    <t>TXN-2025-250</t>
  </si>
  <si>
    <t>TXN-2025-251</t>
  </si>
  <si>
    <t>TXN-2025-252</t>
  </si>
  <si>
    <t>TXN-2025-253</t>
  </si>
  <si>
    <t>TXN-2025-254</t>
  </si>
  <si>
    <t>TXN-2025-255</t>
  </si>
  <si>
    <t>TXN-2025-256</t>
  </si>
  <si>
    <t>TXN-2025-257</t>
  </si>
  <si>
    <t>TXN-2025-258</t>
  </si>
  <si>
    <t>TXN-2025-259</t>
  </si>
  <si>
    <t>TXN-2025-260</t>
  </si>
  <si>
    <t>TXN-2025-261</t>
  </si>
  <si>
    <t>TXN-2025-262</t>
  </si>
  <si>
    <t>TXN-2025-263</t>
  </si>
  <si>
    <t>TXN-2025-264</t>
  </si>
  <si>
    <t>TXN-2025-265</t>
  </si>
  <si>
    <t>TXN-2025-266</t>
  </si>
  <si>
    <t>TXN-2025-267</t>
  </si>
  <si>
    <t>TXN-2025-268</t>
  </si>
  <si>
    <t>TXN-2025-269</t>
  </si>
  <si>
    <t>TXN-2025-270</t>
  </si>
  <si>
    <t>TXN-2025-271</t>
  </si>
  <si>
    <t>TXN-2025-272</t>
  </si>
  <si>
    <t>TXN-2025-273</t>
  </si>
  <si>
    <t>TXN-2025-274</t>
  </si>
  <si>
    <t>TXN-2025-275</t>
  </si>
  <si>
    <t>TXN-2025-276</t>
  </si>
  <si>
    <t>TXN-2025-277</t>
  </si>
  <si>
    <t>TXN-2025-278</t>
  </si>
  <si>
    <t>TXN-2025-279</t>
  </si>
  <si>
    <t>TXN-2025-280</t>
  </si>
  <si>
    <t>TXN-2025-281</t>
  </si>
  <si>
    <t>TXN-2025-282</t>
  </si>
  <si>
    <t>TXN-2025-283</t>
  </si>
  <si>
    <t>TXN-2025-284</t>
  </si>
  <si>
    <t>TXN-2025-285</t>
  </si>
  <si>
    <t>TXN-2025-286</t>
  </si>
  <si>
    <t>TXN-2025-287</t>
  </si>
  <si>
    <t>TXN-2025-288</t>
  </si>
  <si>
    <t>TXN-2025-289</t>
  </si>
  <si>
    <t>TXN-2025-290</t>
  </si>
  <si>
    <t>TXN-2025-291</t>
  </si>
  <si>
    <t>TXN-2025-292</t>
  </si>
  <si>
    <t>TXN-2025-293</t>
  </si>
  <si>
    <t>TXN-2025-294</t>
  </si>
  <si>
    <t>TXN-2025-295</t>
  </si>
  <si>
    <t>TXN-2025-296</t>
  </si>
  <si>
    <t>TXN-2025-297</t>
  </si>
  <si>
    <t>TXN-2025-298</t>
  </si>
  <si>
    <t>TXN-2025-299</t>
  </si>
  <si>
    <t>TXN-2025-300</t>
  </si>
  <si>
    <t>TXN-2025-301</t>
  </si>
  <si>
    <t>TXN-2025-302</t>
  </si>
  <si>
    <t>TXN-2025-303</t>
  </si>
  <si>
    <t>TXN-2025-304</t>
  </si>
  <si>
    <t>TXN-2025-305</t>
  </si>
  <si>
    <t>TXN-2025-306</t>
  </si>
  <si>
    <t>TXN-2025-307</t>
  </si>
  <si>
    <t>TXN-2025-308</t>
  </si>
  <si>
    <t>TXN-2025-309</t>
  </si>
  <si>
    <t>TXN-2025-310</t>
  </si>
  <si>
    <t>TXN-2025-311</t>
  </si>
  <si>
    <t>TXN-2025-312</t>
  </si>
  <si>
    <t>TXN-2025-313</t>
  </si>
  <si>
    <t>TXN-2025-314</t>
  </si>
  <si>
    <t>TXN-2025-315</t>
  </si>
  <si>
    <t>TXN-2025-316</t>
  </si>
  <si>
    <t>TXN-2025-317</t>
  </si>
  <si>
    <t>TXN-2025-318</t>
  </si>
  <si>
    <t>TXN-2025-319</t>
  </si>
  <si>
    <t>TXN-2025-320</t>
  </si>
  <si>
    <t>TXN-2025-321</t>
  </si>
  <si>
    <t>TXN-2025-322</t>
  </si>
  <si>
    <t>TXN-2025-323</t>
  </si>
  <si>
    <t>TXN-2025-324</t>
  </si>
  <si>
    <t>TXN-2025-325</t>
  </si>
  <si>
    <t>TXN-2025-326</t>
  </si>
  <si>
    <t>TXN-2025-327</t>
  </si>
  <si>
    <t>TXN-2025-328</t>
  </si>
  <si>
    <t>TXN-2025-329</t>
  </si>
  <si>
    <t>TXN-2025-330</t>
  </si>
  <si>
    <t>TXN-2025-331</t>
  </si>
  <si>
    <t>TXN-2025-332</t>
  </si>
  <si>
    <t>TXN-2025-333</t>
  </si>
  <si>
    <t>TXN-2025-334</t>
  </si>
  <si>
    <t>TXN-2025-335</t>
  </si>
  <si>
    <t>TXN-2025-336</t>
  </si>
  <si>
    <t>TXN-2025-337</t>
  </si>
  <si>
    <t>TXN-2025-338</t>
  </si>
  <si>
    <t>TXN-2025-339</t>
  </si>
  <si>
    <t>TXN-2025-340</t>
  </si>
  <si>
    <t>TXN-2025-341</t>
  </si>
  <si>
    <t>TXN-2025-342</t>
  </si>
  <si>
    <t>TXN-2025-343</t>
  </si>
  <si>
    <t>TXN-2025-344</t>
  </si>
  <si>
    <t>TXN-2025-345</t>
  </si>
  <si>
    <t>TXN-2025-346</t>
  </si>
  <si>
    <t>TXN-2025-347</t>
  </si>
  <si>
    <t>TXN-2025-348</t>
  </si>
  <si>
    <t>TXN-2025-349</t>
  </si>
  <si>
    <t>TXN-2025-350</t>
  </si>
  <si>
    <t>TXN-2025-351</t>
  </si>
  <si>
    <t>TXN-2025-352</t>
  </si>
  <si>
    <t>TXN-2025-353</t>
  </si>
  <si>
    <t>TXN-2025-354</t>
  </si>
  <si>
    <t>TXN-2025-355</t>
  </si>
  <si>
    <t>TXN-2025-356</t>
  </si>
  <si>
    <t>TXN-2025-357</t>
  </si>
  <si>
    <t>TXN-2025-358</t>
  </si>
  <si>
    <t>TXN-2025-359</t>
  </si>
  <si>
    <t>TXN-2025-360</t>
  </si>
  <si>
    <t>TXN-2025-361</t>
  </si>
  <si>
    <t>TXN-2025-362</t>
  </si>
  <si>
    <t>TXN-2025-363</t>
  </si>
  <si>
    <t>TXN-2025-364</t>
  </si>
  <si>
    <t>TXN-2025-365</t>
  </si>
  <si>
    <t>TXN-2025-366</t>
  </si>
  <si>
    <t>TXN-2025-367</t>
  </si>
  <si>
    <t>TXN-2025-368</t>
  </si>
  <si>
    <t>TXN-2025-369</t>
  </si>
  <si>
    <t>TXN-2025-370</t>
  </si>
  <si>
    <t>TXN-2025-371</t>
  </si>
  <si>
    <t>TXN-2025-372</t>
  </si>
  <si>
    <t>TXN-2025-373</t>
  </si>
  <si>
    <t>TXN-2025-374</t>
  </si>
  <si>
    <t>TXN-2025-375</t>
  </si>
  <si>
    <t>TXN-2025-376</t>
  </si>
  <si>
    <t>TXN-2025-377</t>
  </si>
  <si>
    <t>TXN-2025-378</t>
  </si>
  <si>
    <t>TXN-2025-379</t>
  </si>
  <si>
    <t>TXN-2025-380</t>
  </si>
  <si>
    <t>TXN-2025-381</t>
  </si>
  <si>
    <t>TXN-2025-382</t>
  </si>
  <si>
    <t>TXN-2025-383</t>
  </si>
  <si>
    <t>TXN-2025-384</t>
  </si>
  <si>
    <t>TXN-2025-385</t>
  </si>
  <si>
    <t>TXN-2025-386</t>
  </si>
  <si>
    <t>TXN-2025-387</t>
  </si>
  <si>
    <t>TXN-2025-388</t>
  </si>
  <si>
    <t>TXN-2025-389</t>
  </si>
  <si>
    <t>TXN-2025-390</t>
  </si>
  <si>
    <t>TXN-2025-391</t>
  </si>
  <si>
    <t>TXN-2025-392</t>
  </si>
  <si>
    <t>TXN-2025-393</t>
  </si>
  <si>
    <t>TXN-2025-394</t>
  </si>
  <si>
    <t>TXN-2025-395</t>
  </si>
  <si>
    <t>TXN-2025-396</t>
  </si>
  <si>
    <t>TXN-2025-397</t>
  </si>
  <si>
    <t>TXN-2025-398</t>
  </si>
  <si>
    <t>TXN-2025-399</t>
  </si>
  <si>
    <t>TXN-2025-400</t>
  </si>
  <si>
    <t>TXN-2025-401</t>
  </si>
  <si>
    <t>TXN-2025-402</t>
  </si>
  <si>
    <t>TXN-2025-403</t>
  </si>
  <si>
    <t>TXN-2025-404</t>
  </si>
  <si>
    <t>TXN-2025-405</t>
  </si>
  <si>
    <t>TXN-2025-406</t>
  </si>
  <si>
    <t>TXN-2025-407</t>
  </si>
  <si>
    <t>TXN-2025-408</t>
  </si>
  <si>
    <t>TXN-2025-409</t>
  </si>
  <si>
    <t>TXN-2025-410</t>
  </si>
  <si>
    <t>TXN-2025-411</t>
  </si>
  <si>
    <t>TXN-2025-412</t>
  </si>
  <si>
    <t>TXN-2025-413</t>
  </si>
  <si>
    <t>TXN-2025-414</t>
  </si>
  <si>
    <t>TXN-2025-415</t>
  </si>
  <si>
    <t>TXN-2025-416</t>
  </si>
  <si>
    <t>TXN-2025-417</t>
  </si>
  <si>
    <t>TXN-2025-418</t>
  </si>
  <si>
    <t>TXN-2025-419</t>
  </si>
  <si>
    <t>TXN-2025-420</t>
  </si>
  <si>
    <t>TXN-2025-421</t>
  </si>
  <si>
    <t>TXN-2025-422</t>
  </si>
  <si>
    <t>TXN-2025-423</t>
  </si>
  <si>
    <t>TXN-2025-424</t>
  </si>
  <si>
    <t>TXN-2025-425</t>
  </si>
  <si>
    <t>TXN-2025-426</t>
  </si>
  <si>
    <t>TXN-2025-427</t>
  </si>
  <si>
    <t>TXN-2025-428</t>
  </si>
  <si>
    <t>TXN-2025-429</t>
  </si>
  <si>
    <t>TXN-2025-430</t>
  </si>
  <si>
    <t>TXN-2025-431</t>
  </si>
  <si>
    <t>TXN-2025-432</t>
  </si>
  <si>
    <t>TXN-2025-433</t>
  </si>
  <si>
    <t>TXN-2025-434</t>
  </si>
  <si>
    <t>TXN-2025-435</t>
  </si>
  <si>
    <t>TXN-2025-436</t>
  </si>
  <si>
    <t>TXN-2025-437</t>
  </si>
  <si>
    <t>TXN-2025-438</t>
  </si>
  <si>
    <t>TXN-2025-439</t>
  </si>
  <si>
    <t>TXN-2025-440</t>
  </si>
  <si>
    <t>TXN-2025-441</t>
  </si>
  <si>
    <t>TXN-2025-442</t>
  </si>
  <si>
    <t>TXN-2025-443</t>
  </si>
  <si>
    <t>TXN-2025-444</t>
  </si>
  <si>
    <t>TXN-2025-445</t>
  </si>
  <si>
    <t>TXN-2025-446</t>
  </si>
  <si>
    <t>TXN-2025-447</t>
  </si>
  <si>
    <t>TXN-2025-448</t>
  </si>
  <si>
    <t>TXN-2025-449</t>
  </si>
  <si>
    <t>TXN-2025-450</t>
  </si>
  <si>
    <t>TXN-2025-451</t>
  </si>
  <si>
    <t>TXN-2025-452</t>
  </si>
  <si>
    <t>TXN-2025-453</t>
  </si>
  <si>
    <t>TXN-2025-454</t>
  </si>
  <si>
    <t>TXN-2025-455</t>
  </si>
  <si>
    <t>TXN-2025-456</t>
  </si>
  <si>
    <t>TXN-2025-457</t>
  </si>
  <si>
    <t>TXN-2025-458</t>
  </si>
  <si>
    <t>TXN-2025-459</t>
  </si>
  <si>
    <t>TXN-2025-460</t>
  </si>
  <si>
    <t>TXN-2025-461</t>
  </si>
  <si>
    <t>TXN-2025-462</t>
  </si>
  <si>
    <t>TXN-2025-463</t>
  </si>
  <si>
    <t>TXN-2025-464</t>
  </si>
  <si>
    <t>TXN-2025-465</t>
  </si>
  <si>
    <t>TXN-2025-466</t>
  </si>
  <si>
    <t>TXN-2025-467</t>
  </si>
  <si>
    <t>TXN-2025-468</t>
  </si>
  <si>
    <t>TXN-2025-469</t>
  </si>
  <si>
    <t>TXN-2025-470</t>
  </si>
  <si>
    <t>TXN-2025-471</t>
  </si>
  <si>
    <t>TXN-2025-472</t>
  </si>
  <si>
    <t>TXN-2025-473</t>
  </si>
  <si>
    <t>TXN-2025-474</t>
  </si>
  <si>
    <t>TXN-2025-475</t>
  </si>
  <si>
    <t>TXN-2025-476</t>
  </si>
  <si>
    <t>TXN-2025-477</t>
  </si>
  <si>
    <t>TXN-2025-478</t>
  </si>
  <si>
    <t>TXN-2025-479</t>
  </si>
  <si>
    <t>TXN-2025-480</t>
  </si>
  <si>
    <t>TXN-2025-481</t>
  </si>
  <si>
    <t>TXN-2025-482</t>
  </si>
  <si>
    <t>TXN-2025-483</t>
  </si>
  <si>
    <t>TXN-2025-484</t>
  </si>
  <si>
    <t>TXN-2025-485</t>
  </si>
  <si>
    <t>TXN-2025-486</t>
  </si>
  <si>
    <t>TXN-2025-487</t>
  </si>
  <si>
    <t>TXN-2025-488</t>
  </si>
  <si>
    <t>TXN-2025-489</t>
  </si>
  <si>
    <t>TXN-2025-490</t>
  </si>
  <si>
    <t>TXN-2025-491</t>
  </si>
  <si>
    <t>TXN-2025-492</t>
  </si>
  <si>
    <t>TXN-2025-493</t>
  </si>
  <si>
    <t>TXN-2025-494</t>
  </si>
  <si>
    <t>TXN-2025-495</t>
  </si>
  <si>
    <t>TXN-2025-496</t>
  </si>
  <si>
    <t>TXN-2025-497</t>
  </si>
  <si>
    <t>TXN-2025-498</t>
  </si>
  <si>
    <t>TXN-2025-499</t>
  </si>
  <si>
    <t>TXN-2025-500</t>
  </si>
  <si>
    <t>TXN-2025-501</t>
  </si>
  <si>
    <t>TXN-2025-502</t>
  </si>
  <si>
    <t>TXN-2025-503</t>
  </si>
  <si>
    <t>TXN-2025-504</t>
  </si>
  <si>
    <t>TXN-2025-505</t>
  </si>
  <si>
    <t>TXN-2025-506</t>
  </si>
  <si>
    <t>TXN-2025-507</t>
  </si>
  <si>
    <t>TXN-2025-508</t>
  </si>
  <si>
    <t>TXN-2025-509</t>
  </si>
  <si>
    <t>TXN-2025-510</t>
  </si>
  <si>
    <t>TXN-2025-511</t>
  </si>
  <si>
    <t>TXN-2025-512</t>
  </si>
  <si>
    <t>TXN-2025-513</t>
  </si>
  <si>
    <t>TXN-2025-514</t>
  </si>
  <si>
    <t>TXN-2025-515</t>
  </si>
  <si>
    <t>TXN-2025-516</t>
  </si>
  <si>
    <t>TXN-2025-517</t>
  </si>
  <si>
    <t>TXN-2025-518</t>
  </si>
  <si>
    <t>TXN-2025-519</t>
  </si>
  <si>
    <t>TXN-2025-520</t>
  </si>
  <si>
    <t>TXN-2025-521</t>
  </si>
  <si>
    <t>TXN-2025-522</t>
  </si>
  <si>
    <t>TXN-2025-523</t>
  </si>
  <si>
    <t>TXN-2025-524</t>
  </si>
  <si>
    <t>TXN-2025-525</t>
  </si>
  <si>
    <t>TXN-2025-526</t>
  </si>
  <si>
    <t>TXN-2025-527</t>
  </si>
  <si>
    <t>TXN-2025-528</t>
  </si>
  <si>
    <t>TXN-2025-529</t>
  </si>
  <si>
    <t>TXN-2025-530</t>
  </si>
  <si>
    <t>TXN-2025-531</t>
  </si>
  <si>
    <t>TXN-2025-532</t>
  </si>
  <si>
    <t>TXN-2025-533</t>
  </si>
  <si>
    <t>TXN-2025-534</t>
  </si>
  <si>
    <t>TXN-2025-535</t>
  </si>
  <si>
    <t>TXN-2025-536</t>
  </si>
  <si>
    <t>TXN-2025-537</t>
  </si>
  <si>
    <t>TXN-2025-538</t>
  </si>
  <si>
    <t>TXN-2025-539</t>
  </si>
  <si>
    <t>TXN-2025-540</t>
  </si>
  <si>
    <t>TXN-2025-541</t>
  </si>
  <si>
    <t>TXN-2025-542</t>
  </si>
  <si>
    <t>TXN-2025-543</t>
  </si>
  <si>
    <t>TXN-2025-544</t>
  </si>
  <si>
    <t>TXN-2025-545</t>
  </si>
  <si>
    <t>TXN-2025-546</t>
  </si>
  <si>
    <t>TXN-2025-547</t>
  </si>
  <si>
    <t>TXN-2025-548</t>
  </si>
  <si>
    <t>TXN-2025-549</t>
  </si>
  <si>
    <t>TXN-2025-550</t>
  </si>
  <si>
    <t>TXN-2025-551</t>
  </si>
  <si>
    <t>TXN-2025-552</t>
  </si>
  <si>
    <t>TXN-2025-553</t>
  </si>
  <si>
    <t>TXN-2025-554</t>
  </si>
  <si>
    <t>TXN-2025-555</t>
  </si>
  <si>
    <t>TXN-2025-556</t>
  </si>
  <si>
    <t>TXN-2025-557</t>
  </si>
  <si>
    <t>TXN-2025-558</t>
  </si>
  <si>
    <t>TXN-2025-559</t>
  </si>
  <si>
    <t>TXN-2025-560</t>
  </si>
  <si>
    <t>TXN-2025-561</t>
  </si>
  <si>
    <t>TXN-2025-562</t>
  </si>
  <si>
    <t>TXN-2025-563</t>
  </si>
  <si>
    <t>TXN-2025-564</t>
  </si>
  <si>
    <t>TXN-2025-565</t>
  </si>
  <si>
    <t>TXN-2025-566</t>
  </si>
  <si>
    <t>TXN-2025-567</t>
  </si>
  <si>
    <t>TXN-2025-568</t>
  </si>
  <si>
    <t>TXN-2025-569</t>
  </si>
  <si>
    <t>TXN-2025-570</t>
  </si>
  <si>
    <t>TXN-2025-571</t>
  </si>
  <si>
    <t>TXN-2025-572</t>
  </si>
  <si>
    <t>TXN-2025-573</t>
  </si>
  <si>
    <t>TXN-2025-574</t>
  </si>
  <si>
    <t>TXN-2025-575</t>
  </si>
  <si>
    <t>TXN-2025-576</t>
  </si>
  <si>
    <t>TXN-2025-577</t>
  </si>
  <si>
    <t>TXN-2025-578</t>
  </si>
  <si>
    <t>TXN-2025-579</t>
  </si>
  <si>
    <t>TXN-2025-580</t>
  </si>
  <si>
    <t>TXN-2025-581</t>
  </si>
  <si>
    <t>TXN-2025-582</t>
  </si>
  <si>
    <t>TXN-2025-583</t>
  </si>
  <si>
    <t>TXN-2025-584</t>
  </si>
  <si>
    <t>TXN-2025-585</t>
  </si>
  <si>
    <t>TXN-2025-586</t>
  </si>
  <si>
    <t>TXN-2025-587</t>
  </si>
  <si>
    <t>TXN-2025-588</t>
  </si>
  <si>
    <t>TXN-2025-589</t>
  </si>
  <si>
    <t>TXN-2025-590</t>
  </si>
  <si>
    <t>TXN-2025-591</t>
  </si>
  <si>
    <t>TXN-2025-592</t>
  </si>
  <si>
    <t>TXN-2025-593</t>
  </si>
  <si>
    <t>TXN-2025-594</t>
  </si>
  <si>
    <t>TXN-2025-595</t>
  </si>
  <si>
    <t>TXN-2025-596</t>
  </si>
  <si>
    <t>TXN-2025-597</t>
  </si>
  <si>
    <t>TXN-2025-598</t>
  </si>
  <si>
    <t>TXN-2025-599</t>
  </si>
  <si>
    <t>TXN-2025-600</t>
  </si>
  <si>
    <t>TXN-2025-601</t>
  </si>
  <si>
    <t>TXN-2025-602</t>
  </si>
  <si>
    <t>TXN-2025-603</t>
  </si>
  <si>
    <t>TXN-2025-604</t>
  </si>
  <si>
    <t>TXN-2025-605</t>
  </si>
  <si>
    <t>TXN-2025-606</t>
  </si>
  <si>
    <t>TXN-2025-607</t>
  </si>
  <si>
    <t>TXN-2025-608</t>
  </si>
  <si>
    <t>TXN-2025-609</t>
  </si>
  <si>
    <t>TXN-2025-610</t>
  </si>
  <si>
    <t>TXN-2025-611</t>
  </si>
  <si>
    <t>TXN-2025-612</t>
  </si>
  <si>
    <t>TXN-2025-613</t>
  </si>
  <si>
    <t>TXN-2025-614</t>
  </si>
  <si>
    <t>TXN-2025-615</t>
  </si>
  <si>
    <t>TXN-2025-616</t>
  </si>
  <si>
    <t>TXN-2025-617</t>
  </si>
  <si>
    <t>TXN-2025-618</t>
  </si>
  <si>
    <t>TXN-2025-619</t>
  </si>
  <si>
    <t>TXN-2025-620</t>
  </si>
  <si>
    <t>TXN-2025-621</t>
  </si>
  <si>
    <t>TXN-2025-622</t>
  </si>
  <si>
    <t>TXN-2025-623</t>
  </si>
  <si>
    <t>TXN-2025-624</t>
  </si>
  <si>
    <t>TXN-2025-625</t>
  </si>
  <si>
    <t>TXN-2025-626</t>
  </si>
  <si>
    <t>TXN-2025-627</t>
  </si>
  <si>
    <t>TXN-2025-628</t>
  </si>
  <si>
    <t>TXN-2025-629</t>
  </si>
  <si>
    <t>TXN-2025-630</t>
  </si>
  <si>
    <t>TXN-2025-631</t>
  </si>
  <si>
    <t>TXN-2025-632</t>
  </si>
  <si>
    <t>TXN-2025-633</t>
  </si>
  <si>
    <t>TXN-2025-634</t>
  </si>
  <si>
    <t>TXN-2025-635</t>
  </si>
  <si>
    <t>TXN-2025-636</t>
  </si>
  <si>
    <t>TXN-2025-637</t>
  </si>
  <si>
    <t>TXN-2025-638</t>
  </si>
  <si>
    <t>TXN-2025-639</t>
  </si>
  <si>
    <t>TXN-2025-640</t>
  </si>
  <si>
    <t>TXN-2025-641</t>
  </si>
  <si>
    <t>TXN-2025-642</t>
  </si>
  <si>
    <t>TXN-2025-643</t>
  </si>
  <si>
    <t>TXN-2025-644</t>
  </si>
  <si>
    <t>TXN-2025-645</t>
  </si>
  <si>
    <t>TXN-2025-646</t>
  </si>
  <si>
    <t>TXN-2025-647</t>
  </si>
  <si>
    <t>TXN-2025-648</t>
  </si>
  <si>
    <t>TXN-2025-649</t>
  </si>
  <si>
    <t>TXN-2025-650</t>
  </si>
  <si>
    <t>TXN-2025-651</t>
  </si>
  <si>
    <t>TXN-2025-652</t>
  </si>
  <si>
    <t>TXN-2025-653</t>
  </si>
  <si>
    <t>TXN-2025-654</t>
  </si>
  <si>
    <t>TXN-2025-655</t>
  </si>
  <si>
    <t>TXN-2025-656</t>
  </si>
  <si>
    <t>TXN-2025-657</t>
  </si>
  <si>
    <t>TXN-2025-658</t>
  </si>
  <si>
    <t>TXN-2025-659</t>
  </si>
  <si>
    <t>TXN-2025-660</t>
  </si>
  <si>
    <t>TXN-2025-661</t>
  </si>
  <si>
    <t>TXN-2025-662</t>
  </si>
  <si>
    <t>TXN-2025-663</t>
  </si>
  <si>
    <t>TXN-2025-664</t>
  </si>
  <si>
    <t>TXN-2025-665</t>
  </si>
  <si>
    <t>TXN-2025-666</t>
  </si>
  <si>
    <t>TXN-2025-667</t>
  </si>
  <si>
    <t>TXN-2025-668</t>
  </si>
  <si>
    <t>TXN-2025-669</t>
  </si>
  <si>
    <t>TXN-2025-670</t>
  </si>
  <si>
    <t>TXN-2025-671</t>
  </si>
  <si>
    <t>TXN-2025-672</t>
  </si>
  <si>
    <t>TXN-2025-673</t>
  </si>
  <si>
    <t>TXN-2025-674</t>
  </si>
  <si>
    <t>TXN-2025-675</t>
  </si>
  <si>
    <t>TXN-2025-676</t>
  </si>
  <si>
    <t>TXN-2025-677</t>
  </si>
  <si>
    <t>TXN-2025-678</t>
  </si>
  <si>
    <t>TXN-2025-679</t>
  </si>
  <si>
    <t>TXN-2025-680</t>
  </si>
  <si>
    <t>TXN-2025-681</t>
  </si>
  <si>
    <t>TXN-2025-682</t>
  </si>
  <si>
    <t>TXN-2025-683</t>
  </si>
  <si>
    <t>TXN-2025-684</t>
  </si>
  <si>
    <t>TXN-2025-685</t>
  </si>
  <si>
    <t>TXN-2025-686</t>
  </si>
  <si>
    <t>TXN-2025-687</t>
  </si>
  <si>
    <t>TXN-2025-688</t>
  </si>
  <si>
    <t>TXN-2025-689</t>
  </si>
  <si>
    <t>TXN-2025-690</t>
  </si>
  <si>
    <t>TXN-2025-691</t>
  </si>
  <si>
    <t>TXN-2025-692</t>
  </si>
  <si>
    <t>TXN-2025-693</t>
  </si>
  <si>
    <t>TXN-2025-694</t>
  </si>
  <si>
    <t>TXN-2025-695</t>
  </si>
  <si>
    <t>TXN-2025-696</t>
  </si>
  <si>
    <t>TXN-2025-697</t>
  </si>
  <si>
    <t>TXN-2025-698</t>
  </si>
  <si>
    <t>TXN-2025-699</t>
  </si>
  <si>
    <t>TXN-2025-700</t>
  </si>
  <si>
    <t>TXN-2025-701</t>
  </si>
  <si>
    <t>TXN-2025-702</t>
  </si>
  <si>
    <t>TXN-2025-703</t>
  </si>
  <si>
    <t>TXN-2025-704</t>
  </si>
  <si>
    <t>TXN-2025-705</t>
  </si>
  <si>
    <t>TXN-2025-706</t>
  </si>
  <si>
    <t>TXN-2025-707</t>
  </si>
  <si>
    <t>TXN-2025-708</t>
  </si>
  <si>
    <t>TXN-2025-709</t>
  </si>
  <si>
    <t>TXN-2025-710</t>
  </si>
  <si>
    <t>TXN-2025-711</t>
  </si>
  <si>
    <t>TXN-2025-712</t>
  </si>
  <si>
    <t>TXN-2025-713</t>
  </si>
  <si>
    <t>TXN-2025-714</t>
  </si>
  <si>
    <t>TXN-2025-715</t>
  </si>
  <si>
    <t>TXN-2025-716</t>
  </si>
  <si>
    <t>TXN-2025-717</t>
  </si>
  <si>
    <t>TXN-2025-718</t>
  </si>
  <si>
    <t>TXN-2025-719</t>
  </si>
  <si>
    <t>TXN-2025-720</t>
  </si>
  <si>
    <t>TXN-2025-721</t>
  </si>
  <si>
    <t>TXN-2025-722</t>
  </si>
  <si>
    <t>TXN-2025-723</t>
  </si>
  <si>
    <t>TXN-2025-724</t>
  </si>
  <si>
    <t>TXN-2025-725</t>
  </si>
  <si>
    <t>TXN-2025-726</t>
  </si>
  <si>
    <t>TXN-2025-727</t>
  </si>
  <si>
    <t>TXN-2025-728</t>
  </si>
  <si>
    <t>TXN-2025-729</t>
  </si>
  <si>
    <t>TXN-2025-730</t>
  </si>
  <si>
    <t>TXN-2025-731</t>
  </si>
  <si>
    <t>TXN-2025-732</t>
  </si>
  <si>
    <t>TXN-2025-733</t>
  </si>
  <si>
    <t>TXN-2025-734</t>
  </si>
  <si>
    <t>TXN-2025-735</t>
  </si>
  <si>
    <t>TXN-2025-736</t>
  </si>
  <si>
    <t>TXN-2025-737</t>
  </si>
  <si>
    <t>TXN-2025-738</t>
  </si>
  <si>
    <t>TXN-2025-739</t>
  </si>
  <si>
    <t>TXN-2025-740</t>
  </si>
  <si>
    <t>TXN-2025-741</t>
  </si>
  <si>
    <t>TXN-2025-742</t>
  </si>
  <si>
    <t>TXN-2025-743</t>
  </si>
  <si>
    <t>TXN-2025-744</t>
  </si>
  <si>
    <t>TXN-2025-745</t>
  </si>
  <si>
    <t>TXN-2025-746</t>
  </si>
  <si>
    <t>TXN-2025-747</t>
  </si>
  <si>
    <t>TXN-2025-748</t>
  </si>
  <si>
    <t>TXN-2025-749</t>
  </si>
  <si>
    <t>TXN-2025-750</t>
  </si>
  <si>
    <t>TXN-2025-751</t>
  </si>
  <si>
    <t>TXN-2025-752</t>
  </si>
  <si>
    <t>TXN-2025-753</t>
  </si>
  <si>
    <t>TXN-2025-754</t>
  </si>
  <si>
    <t>TXN-2025-755</t>
  </si>
  <si>
    <t>TXN-2025-756</t>
  </si>
  <si>
    <t>TXN-2025-757</t>
  </si>
  <si>
    <t>TXN-2025-758</t>
  </si>
  <si>
    <t>TXN-2025-759</t>
  </si>
  <si>
    <t>TXN-2025-760</t>
  </si>
  <si>
    <t>TXN-2025-761</t>
  </si>
  <si>
    <t>TXN-2025-762</t>
  </si>
  <si>
    <t>TXN-2025-763</t>
  </si>
  <si>
    <t>TXN-2025-764</t>
  </si>
  <si>
    <t>TXN-2025-765</t>
  </si>
  <si>
    <t>TXN-2025-766</t>
  </si>
  <si>
    <t>TXN-2025-767</t>
  </si>
  <si>
    <t>TXN-2025-768</t>
  </si>
  <si>
    <t>TXN-2025-769</t>
  </si>
  <si>
    <t>TXN-2025-770</t>
  </si>
  <si>
    <t>TXN-2025-771</t>
  </si>
  <si>
    <t>TXN-2025-772</t>
  </si>
  <si>
    <t>TXN-2025-773</t>
  </si>
  <si>
    <t>TXN-2025-774</t>
  </si>
  <si>
    <t>TXN-2025-775</t>
  </si>
  <si>
    <t>TXN-2025-776</t>
  </si>
  <si>
    <t>TXN-2025-777</t>
  </si>
  <si>
    <t>TXN-2025-778</t>
  </si>
  <si>
    <t>TXN-2025-779</t>
  </si>
  <si>
    <t>TXN-2025-780</t>
  </si>
  <si>
    <t>TXN-2025-781</t>
  </si>
  <si>
    <t>TXN-2025-782</t>
  </si>
  <si>
    <t>TXN-2025-783</t>
  </si>
  <si>
    <t>TXN-2025-784</t>
  </si>
  <si>
    <t>TXN-2025-785</t>
  </si>
  <si>
    <t>TXN-2025-786</t>
  </si>
  <si>
    <t>TXN-2025-787</t>
  </si>
  <si>
    <t>TXN-2025-788</t>
  </si>
  <si>
    <t>TXN-2025-789</t>
  </si>
  <si>
    <t>TXN-2025-790</t>
  </si>
  <si>
    <t>TXN-2025-791</t>
  </si>
  <si>
    <t>TXN-2025-792</t>
  </si>
  <si>
    <t>TXN-2025-793</t>
  </si>
  <si>
    <t>TXN-2025-794</t>
  </si>
  <si>
    <t>TXN-2025-795</t>
  </si>
  <si>
    <t>TXN-2025-796</t>
  </si>
  <si>
    <t>TXN-2025-797</t>
  </si>
  <si>
    <t>TXN-2025-798</t>
  </si>
  <si>
    <t>TXN-2025-799</t>
  </si>
  <si>
    <t>TXN-2025-800</t>
  </si>
  <si>
    <t>TXN-2025-801</t>
  </si>
  <si>
    <t>TXN-2025-802</t>
  </si>
  <si>
    <t>TXN-2025-803</t>
  </si>
  <si>
    <t>TXN-2025-804</t>
  </si>
  <si>
    <t>TXN-2025-805</t>
  </si>
  <si>
    <t>TXN-2025-806</t>
  </si>
  <si>
    <t>TXN-2025-807</t>
  </si>
  <si>
    <t>TXN-2025-808</t>
  </si>
  <si>
    <t>TXN-2025-809</t>
  </si>
  <si>
    <t>TXN-2025-810</t>
  </si>
  <si>
    <t>TXN-2025-811</t>
  </si>
  <si>
    <t>TXN-2025-812</t>
  </si>
  <si>
    <t>TXN-2025-813</t>
  </si>
  <si>
    <t>TXN-2025-814</t>
  </si>
  <si>
    <t>TXN-2025-815</t>
  </si>
  <si>
    <t>TXN-2025-816</t>
  </si>
  <si>
    <t>TXN-2025-817</t>
  </si>
  <si>
    <t>TXN-2025-818</t>
  </si>
  <si>
    <t>TXN-2025-819</t>
  </si>
  <si>
    <t>TXN-2025-820</t>
  </si>
  <si>
    <t>TXN-2025-821</t>
  </si>
  <si>
    <t>TXN-2025-822</t>
  </si>
  <si>
    <t>TXN-2025-823</t>
  </si>
  <si>
    <t>TXN-2025-824</t>
  </si>
  <si>
    <t>TXN-2025-825</t>
  </si>
  <si>
    <t>TXN-2025-826</t>
  </si>
  <si>
    <t>TXN-2025-827</t>
  </si>
  <si>
    <t>TXN-2025-828</t>
  </si>
  <si>
    <t>TXN-2025-829</t>
  </si>
  <si>
    <t>TXN-2025-830</t>
  </si>
  <si>
    <t>TXN-2025-831</t>
  </si>
  <si>
    <t>TXN-2025-832</t>
  </si>
  <si>
    <t>TXN-2025-833</t>
  </si>
  <si>
    <t>TXN-2025-834</t>
  </si>
  <si>
    <t>TXN-2025-835</t>
  </si>
  <si>
    <t>TXN-2025-836</t>
  </si>
  <si>
    <t>TXN-2025-837</t>
  </si>
  <si>
    <t>TXN-2025-838</t>
  </si>
  <si>
    <t>TXN-2025-839</t>
  </si>
  <si>
    <t>TXN-2025-840</t>
  </si>
  <si>
    <t>TXN-2025-841</t>
  </si>
  <si>
    <t>TXN-2025-842</t>
  </si>
  <si>
    <t>TXN-2025-843</t>
  </si>
  <si>
    <t>TXN-2025-844</t>
  </si>
  <si>
    <t>TXN-2025-845</t>
  </si>
  <si>
    <t>TXN-2025-846</t>
  </si>
  <si>
    <t>TXN-2025-847</t>
  </si>
  <si>
    <t>TXN-2025-848</t>
  </si>
  <si>
    <t>TXN-2025-849</t>
  </si>
  <si>
    <t>TXN-2025-850</t>
  </si>
  <si>
    <t>TXN-2025-851</t>
  </si>
  <si>
    <t>TXN-2025-852</t>
  </si>
  <si>
    <t>TXN-2025-853</t>
  </si>
  <si>
    <t>TXN-2025-854</t>
  </si>
  <si>
    <t>TXN-2025-855</t>
  </si>
  <si>
    <t>TXN-2025-856</t>
  </si>
  <si>
    <t>TXN-2025-857</t>
  </si>
  <si>
    <t>TXN-2025-858</t>
  </si>
  <si>
    <t>TXN-2025-859</t>
  </si>
  <si>
    <t>TXN-2025-860</t>
  </si>
  <si>
    <t>TXN-2025-861</t>
  </si>
  <si>
    <t>TXN-2025-862</t>
  </si>
  <si>
    <t>TXN-2025-863</t>
  </si>
  <si>
    <t>TXN-2025-864</t>
  </si>
  <si>
    <t>TXN-2025-865</t>
  </si>
  <si>
    <t>TXN-2025-866</t>
  </si>
  <si>
    <t>TXN-2025-867</t>
  </si>
  <si>
    <t>TXN-2025-868</t>
  </si>
  <si>
    <t>TXN-2025-869</t>
  </si>
  <si>
    <t>TXN-2025-870</t>
  </si>
  <si>
    <t>TXN-2025-871</t>
  </si>
  <si>
    <t>TXN-2025-872</t>
  </si>
  <si>
    <t>TXN-2025-873</t>
  </si>
  <si>
    <t>TXN-2025-874</t>
  </si>
  <si>
    <t>TXN-2025-875</t>
  </si>
  <si>
    <t>TXN-2025-876</t>
  </si>
  <si>
    <t>TXN-2025-877</t>
  </si>
  <si>
    <t>TXN-2025-878</t>
  </si>
  <si>
    <t>TXN-2025-879</t>
  </si>
  <si>
    <t>TXN-2025-880</t>
  </si>
  <si>
    <t>TXN-2025-881</t>
  </si>
  <si>
    <t>TXN-2025-882</t>
  </si>
  <si>
    <t>TXN-2025-883</t>
  </si>
  <si>
    <t>TXN-2025-884</t>
  </si>
  <si>
    <t>TXN-2025-885</t>
  </si>
  <si>
    <t>TXN-2025-886</t>
  </si>
  <si>
    <t>TXN-2025-887</t>
  </si>
  <si>
    <t>TXN-2025-888</t>
  </si>
  <si>
    <t>TXN-2025-889</t>
  </si>
  <si>
    <t>TXN-2025-890</t>
  </si>
  <si>
    <t>TXN-2025-891</t>
  </si>
  <si>
    <t>TXN-2025-892</t>
  </si>
  <si>
    <t>TXN-2025-893</t>
  </si>
  <si>
    <t>TXN-2025-894</t>
  </si>
  <si>
    <t>TXN-2025-895</t>
  </si>
  <si>
    <t>TXN-2025-896</t>
  </si>
  <si>
    <t>TXN-2025-897</t>
  </si>
  <si>
    <t>TXN-2025-898</t>
  </si>
  <si>
    <t>TXN-2025-899</t>
  </si>
  <si>
    <t>TXN-2025-900</t>
  </si>
  <si>
    <t>TXN-2025-901</t>
  </si>
  <si>
    <t>TXN-2025-902</t>
  </si>
  <si>
    <t>TXN-2025-903</t>
  </si>
  <si>
    <t>TXN-2025-904</t>
  </si>
  <si>
    <t>TXN-2025-905</t>
  </si>
  <si>
    <t>TXN-2025-906</t>
  </si>
  <si>
    <t>TXN-2025-907</t>
  </si>
  <si>
    <t>TXN-2025-908</t>
  </si>
  <si>
    <t>TXN-2025-909</t>
  </si>
  <si>
    <t>TXN-2025-910</t>
  </si>
  <si>
    <t>TXN-2025-911</t>
  </si>
  <si>
    <t>TXN-2025-912</t>
  </si>
  <si>
    <t>TXN-2025-913</t>
  </si>
  <si>
    <t>TXN-2025-914</t>
  </si>
  <si>
    <t>TXN-2025-915</t>
  </si>
  <si>
    <t>TXN-2025-916</t>
  </si>
  <si>
    <t>TXN-2025-917</t>
  </si>
  <si>
    <t>TXN-2025-918</t>
  </si>
  <si>
    <t>TXN-2025-919</t>
  </si>
  <si>
    <t>TXN-2025-920</t>
  </si>
  <si>
    <t>TXN-2025-921</t>
  </si>
  <si>
    <t>TXN-2025-922</t>
  </si>
  <si>
    <t>TXN-2025-923</t>
  </si>
  <si>
    <t>TXN-2025-924</t>
  </si>
  <si>
    <t>TXN-2025-925</t>
  </si>
  <si>
    <t>TXN-2025-926</t>
  </si>
  <si>
    <t>TXN-2025-927</t>
  </si>
  <si>
    <t>TXN-2025-928</t>
  </si>
  <si>
    <t>TXN-2025-929</t>
  </si>
  <si>
    <t>TXN-2025-930</t>
  </si>
  <si>
    <t>TXN-2025-931</t>
  </si>
  <si>
    <t>TXN-2025-932</t>
  </si>
  <si>
    <t>TXN-2025-933</t>
  </si>
  <si>
    <t>TXN-2025-934</t>
  </si>
  <si>
    <t>TXN-2025-935</t>
  </si>
  <si>
    <t>TXN-2025-936</t>
  </si>
  <si>
    <t>TXN-2025-937</t>
  </si>
  <si>
    <t>TXN-2025-938</t>
  </si>
  <si>
    <t>TXN-2025-939</t>
  </si>
  <si>
    <t>TXN-2025-940</t>
  </si>
  <si>
    <t>TXN-2025-941</t>
  </si>
  <si>
    <t>TXN-2025-942</t>
  </si>
  <si>
    <t>TXN-2025-943</t>
  </si>
  <si>
    <t>TXN-2025-944</t>
  </si>
  <si>
    <t>TXN-2025-945</t>
  </si>
  <si>
    <t>TXN-2025-946</t>
  </si>
  <si>
    <t>TXN-2025-947</t>
  </si>
  <si>
    <t>TXN-2025-948</t>
  </si>
  <si>
    <t>TXN-2025-949</t>
  </si>
  <si>
    <t>TXN-2025-950</t>
  </si>
  <si>
    <t>TXN-2025-951</t>
  </si>
  <si>
    <t>TXN-2025-952</t>
  </si>
  <si>
    <t>TXN-2025-953</t>
  </si>
  <si>
    <t>TXN-2025-954</t>
  </si>
  <si>
    <t>TXN-2025-955</t>
  </si>
  <si>
    <t>TXN-2025-956</t>
  </si>
  <si>
    <t>TXN-2025-957</t>
  </si>
  <si>
    <t>TXN-2025-958</t>
  </si>
  <si>
    <t>TXN-2025-959</t>
  </si>
  <si>
    <t>TXN-2025-960</t>
  </si>
  <si>
    <t>TXN-2025-961</t>
  </si>
  <si>
    <t>TXN-2025-962</t>
  </si>
  <si>
    <t>TXN-2025-963</t>
  </si>
  <si>
    <t>TXN-2025-964</t>
  </si>
  <si>
    <t>TXN-2025-965</t>
  </si>
  <si>
    <t>TXN-2025-966</t>
  </si>
  <si>
    <t>TXN-2025-967</t>
  </si>
  <si>
    <t>TXN-2025-968</t>
  </si>
  <si>
    <t>TXN-2025-969</t>
  </si>
  <si>
    <t>TXN-2025-970</t>
  </si>
  <si>
    <t>TXN-2025-971</t>
  </si>
  <si>
    <t>TXN-2025-972</t>
  </si>
  <si>
    <t>TXN-2025-973</t>
  </si>
  <si>
    <t>TXN-2025-974</t>
  </si>
  <si>
    <t>TXN-2025-975</t>
  </si>
  <si>
    <t>TXN-2025-976</t>
  </si>
  <si>
    <t>TXN-2025-977</t>
  </si>
  <si>
    <t>TXN-2025-978</t>
  </si>
  <si>
    <t>TXN-2025-979</t>
  </si>
  <si>
    <t>TXN-2025-980</t>
  </si>
  <si>
    <t>TXN-2025-981</t>
  </si>
  <si>
    <t>TXN-2025-982</t>
  </si>
  <si>
    <t>TXN-2025-983</t>
  </si>
  <si>
    <t>TXN-2025-984</t>
  </si>
  <si>
    <t>TXN-2025-985</t>
  </si>
  <si>
    <t>TXN-2025-986</t>
  </si>
  <si>
    <t>TXN-2025-987</t>
  </si>
  <si>
    <t>TXN-2025-988</t>
  </si>
  <si>
    <t>TXN-2025-989</t>
  </si>
  <si>
    <t>TXN-2025-990</t>
  </si>
  <si>
    <t>TXN-2025-991</t>
  </si>
  <si>
    <t>TXN-2025-992</t>
  </si>
  <si>
    <t>TXN-2025-993</t>
  </si>
  <si>
    <t>TXN-2025-994</t>
  </si>
  <si>
    <t>TXN-2025-995</t>
  </si>
  <si>
    <t>TXN-2025-996</t>
  </si>
  <si>
    <t>TXN-2025-997</t>
  </si>
  <si>
    <t>TXN-2025-998</t>
  </si>
  <si>
    <t>TXN-2025-999</t>
  </si>
  <si>
    <t>TXN-2025-1000</t>
  </si>
  <si>
    <t>2025-01-01</t>
  </si>
  <si>
    <t>2025-01-02</t>
  </si>
  <si>
    <t>2025-01-03</t>
  </si>
  <si>
    <t>2025-01-04</t>
  </si>
  <si>
    <t>2025-01-05</t>
  </si>
  <si>
    <t>2025-01-06</t>
  </si>
  <si>
    <t>2025-01-07</t>
  </si>
  <si>
    <t>2025-01-08</t>
  </si>
  <si>
    <t>2025-01-09</t>
  </si>
  <si>
    <t>2025-01-10</t>
  </si>
  <si>
    <t>2025-01-12</t>
  </si>
  <si>
    <t>2025-01-13</t>
  </si>
  <si>
    <t>2025-01-14</t>
  </si>
  <si>
    <t>2025-01-15</t>
  </si>
  <si>
    <t>2025-01-16</t>
  </si>
  <si>
    <t>2025-01-17</t>
  </si>
  <si>
    <t>2025-01-18</t>
  </si>
  <si>
    <t>2025-01-19</t>
  </si>
  <si>
    <t>2025-01-20</t>
  </si>
  <si>
    <t>2025-01-21</t>
  </si>
  <si>
    <t>2025-01-22</t>
  </si>
  <si>
    <t>2025-01-23</t>
  </si>
  <si>
    <t>2025-01-25</t>
  </si>
  <si>
    <t>2025-01-26</t>
  </si>
  <si>
    <t>2025-01-27</t>
  </si>
  <si>
    <t>2025-01-28</t>
  </si>
  <si>
    <t>2025-01-29</t>
  </si>
  <si>
    <t>2025-01-30</t>
  </si>
  <si>
    <t>2025-01-31</t>
  </si>
  <si>
    <t>2025-02-02</t>
  </si>
  <si>
    <t>2025-02-03</t>
  </si>
  <si>
    <t>2025-02-04</t>
  </si>
  <si>
    <t>2025-02-05</t>
  </si>
  <si>
    <t>2025-02-06</t>
  </si>
  <si>
    <t>2025-02-07</t>
  </si>
  <si>
    <t>2025-02-08</t>
  </si>
  <si>
    <t>2025-02-09</t>
  </si>
  <si>
    <t>2025-02-10</t>
  </si>
  <si>
    <t>2025-02-11</t>
  </si>
  <si>
    <t>2025-02-12</t>
  </si>
  <si>
    <t>2025-02-13</t>
  </si>
  <si>
    <t>2025-02-14</t>
  </si>
  <si>
    <t>2025-02-15</t>
  </si>
  <si>
    <t>2025-02-16</t>
  </si>
  <si>
    <t>2025-02-17</t>
  </si>
  <si>
    <t>2025-02-18</t>
  </si>
  <si>
    <t>2025-02-19</t>
  </si>
  <si>
    <t>2025-02-20</t>
  </si>
  <si>
    <t>2025-02-21</t>
  </si>
  <si>
    <t>2025-02-22</t>
  </si>
  <si>
    <t>2025-02-23</t>
  </si>
  <si>
    <t>2025-02-24</t>
  </si>
  <si>
    <t>2025-02-25</t>
  </si>
  <si>
    <t>2025-02-26</t>
  </si>
  <si>
    <t>2025-02-27</t>
  </si>
  <si>
    <t>2025-02-28</t>
  </si>
  <si>
    <t>2025-03-01</t>
  </si>
  <si>
    <t>2025-03-02</t>
  </si>
  <si>
    <t>2025-03-03</t>
  </si>
  <si>
    <t>2025-03-04</t>
  </si>
  <si>
    <t>2025-03-06</t>
  </si>
  <si>
    <t>2025-03-07</t>
  </si>
  <si>
    <t>2025-03-08</t>
  </si>
  <si>
    <t>2025-03-09</t>
  </si>
  <si>
    <t>2025-03-10</t>
  </si>
  <si>
    <t>2025-03-11</t>
  </si>
  <si>
    <t>2025-03-13</t>
  </si>
  <si>
    <t>2025-03-14</t>
  </si>
  <si>
    <t>2025-03-15</t>
  </si>
  <si>
    <t>2025-03-16</t>
  </si>
  <si>
    <t>2025-03-17</t>
  </si>
  <si>
    <t>2025-03-19</t>
  </si>
  <si>
    <t>2025-03-21</t>
  </si>
  <si>
    <t>2025-03-22</t>
  </si>
  <si>
    <t>2025-03-23</t>
  </si>
  <si>
    <t>2025-03-24</t>
  </si>
  <si>
    <t>2025-03-25</t>
  </si>
  <si>
    <t>2025-03-26</t>
  </si>
  <si>
    <t>2025-03-27</t>
  </si>
  <si>
    <t>2025-03-29</t>
  </si>
  <si>
    <t>2025-03-30</t>
  </si>
  <si>
    <t>2025-03-31</t>
  </si>
  <si>
    <t>2025-04-01</t>
  </si>
  <si>
    <t>2025-04-02</t>
  </si>
  <si>
    <t>2025-04-03</t>
  </si>
  <si>
    <t>2025-04-04</t>
  </si>
  <si>
    <t>2025-04-05</t>
  </si>
  <si>
    <t>2025-04-06</t>
  </si>
  <si>
    <t>2025-04-07</t>
  </si>
  <si>
    <t>2025-04-08</t>
  </si>
  <si>
    <t>2025-04-09</t>
  </si>
  <si>
    <t>2025-04-10</t>
  </si>
  <si>
    <t>2025-04-11</t>
  </si>
  <si>
    <t>2025-04-13</t>
  </si>
  <si>
    <t>2025-04-14</t>
  </si>
  <si>
    <t>2025-04-15</t>
  </si>
  <si>
    <t>2025-04-16</t>
  </si>
  <si>
    <t>2025-04-17</t>
  </si>
  <si>
    <t>2025-04-18</t>
  </si>
  <si>
    <t>2025-04-19</t>
  </si>
  <si>
    <t>2025-04-21</t>
  </si>
  <si>
    <t>2025-04-22</t>
  </si>
  <si>
    <t>2025-04-23</t>
  </si>
  <si>
    <t>2025-04-24</t>
  </si>
  <si>
    <t>2025-04-25</t>
  </si>
  <si>
    <t>2025-04-26</t>
  </si>
  <si>
    <t>2025-04-27</t>
  </si>
  <si>
    <t>2025-04-28</t>
  </si>
  <si>
    <t>2025-04-29</t>
  </si>
  <si>
    <t>2025-04-30</t>
  </si>
  <si>
    <t>2025-05-01</t>
  </si>
  <si>
    <t>2025-05-02</t>
  </si>
  <si>
    <t>2025-05-03</t>
  </si>
  <si>
    <t>2025-05-04</t>
  </si>
  <si>
    <t>2025-05-05</t>
  </si>
  <si>
    <t>2025-05-06</t>
  </si>
  <si>
    <t>2025-05-07</t>
  </si>
  <si>
    <t>2025-05-08</t>
  </si>
  <si>
    <t>2025-05-09</t>
  </si>
  <si>
    <t>2025-05-10</t>
  </si>
  <si>
    <t>2025-05-11</t>
  </si>
  <si>
    <t>2025-05-12</t>
  </si>
  <si>
    <t>2025-05-13</t>
  </si>
  <si>
    <t>2025-05-14</t>
  </si>
  <si>
    <t>2025-05-15</t>
  </si>
  <si>
    <t>2025-05-16</t>
  </si>
  <si>
    <t>2025-05-17</t>
  </si>
  <si>
    <t>2025-05-18</t>
  </si>
  <si>
    <t>2025-05-19</t>
  </si>
  <si>
    <t>2025-05-20</t>
  </si>
  <si>
    <t>2025-05-21</t>
  </si>
  <si>
    <t>2025-05-22</t>
  </si>
  <si>
    <t>2025-05-23</t>
  </si>
  <si>
    <t>2025-05-24</t>
  </si>
  <si>
    <t>2025-05-25</t>
  </si>
  <si>
    <t>2025-05-26</t>
  </si>
  <si>
    <t>2025-05-27</t>
  </si>
  <si>
    <t>2025-05-28</t>
  </si>
  <si>
    <t>2025-05-29</t>
  </si>
  <si>
    <t>2025-05-30</t>
  </si>
  <si>
    <t>2025-05-31</t>
  </si>
  <si>
    <t>2025-06-01</t>
  </si>
  <si>
    <t>2025-06-02</t>
  </si>
  <si>
    <t>2025-06-03</t>
  </si>
  <si>
    <t>2025-06-04</t>
  </si>
  <si>
    <t>2025-06-05</t>
  </si>
  <si>
    <t>2025-06-06</t>
  </si>
  <si>
    <t>2025-06-07</t>
  </si>
  <si>
    <t>2025-06-09</t>
  </si>
  <si>
    <t>2025-06-10</t>
  </si>
  <si>
    <t>2025-06-11</t>
  </si>
  <si>
    <t>2025-06-12</t>
  </si>
  <si>
    <t>2025-06-13</t>
  </si>
  <si>
    <t>2025-06-14</t>
  </si>
  <si>
    <t>2025-06-15</t>
  </si>
  <si>
    <t>2025-06-16</t>
  </si>
  <si>
    <t>2025-06-17</t>
  </si>
  <si>
    <t>2025-06-18</t>
  </si>
  <si>
    <t>2025-06-19</t>
  </si>
  <si>
    <t>2025-06-20</t>
  </si>
  <si>
    <t>2025-06-21</t>
  </si>
  <si>
    <t>2025-06-22</t>
  </si>
  <si>
    <t>2025-06-23</t>
  </si>
  <si>
    <t>2025-06-24</t>
  </si>
  <si>
    <t>2025-06-25</t>
  </si>
  <si>
    <t>2025-06-26</t>
  </si>
  <si>
    <t>2025-06-27</t>
  </si>
  <si>
    <t>2025-06-28</t>
  </si>
  <si>
    <t>2025-06-29</t>
  </si>
  <si>
    <t>2025-06-30</t>
  </si>
  <si>
    <t>2025-07-01</t>
  </si>
  <si>
    <t>2025-07-02</t>
  </si>
  <si>
    <t>2025-07-03</t>
  </si>
  <si>
    <t>2025-07-04</t>
  </si>
  <si>
    <t>2025-07-05</t>
  </si>
  <si>
    <t>2025-07-06</t>
  </si>
  <si>
    <t>2025-07-07</t>
  </si>
  <si>
    <t>2025-07-08</t>
  </si>
  <si>
    <t>2025-07-09</t>
  </si>
  <si>
    <t>2025-07-10</t>
  </si>
  <si>
    <t>2025-07-11</t>
  </si>
  <si>
    <t>2025-07-13</t>
  </si>
  <si>
    <t>2025-07-14</t>
  </si>
  <si>
    <t>2025-07-15</t>
  </si>
  <si>
    <t>2025-07-16</t>
  </si>
  <si>
    <t>2025-07-17</t>
  </si>
  <si>
    <t>2025-07-18</t>
  </si>
  <si>
    <t>2025-07-20</t>
  </si>
  <si>
    <t>2025-07-21</t>
  </si>
  <si>
    <t>2025-07-22</t>
  </si>
  <si>
    <t>2025-07-23</t>
  </si>
  <si>
    <t>2025-07-24</t>
  </si>
  <si>
    <t>2025-07-25</t>
  </si>
  <si>
    <t>2025-07-26</t>
  </si>
  <si>
    <t>2025-07-27</t>
  </si>
  <si>
    <t>2025-07-31</t>
  </si>
  <si>
    <t>2025-08-01</t>
  </si>
  <si>
    <t>2025-08-02</t>
  </si>
  <si>
    <t>2025-08-03</t>
  </si>
  <si>
    <t>2025-08-04</t>
  </si>
  <si>
    <t>2025-08-05</t>
  </si>
  <si>
    <t>2025-08-06</t>
  </si>
  <si>
    <t>2025-08-08</t>
  </si>
  <si>
    <t>2025-08-09</t>
  </si>
  <si>
    <t>2025-08-10</t>
  </si>
  <si>
    <t>2025-08-11</t>
  </si>
  <si>
    <t>2025-08-12</t>
  </si>
  <si>
    <t>2025-08-13</t>
  </si>
  <si>
    <t>2025-08-14</t>
  </si>
  <si>
    <t>2025-08-15</t>
  </si>
  <si>
    <t>2025-08-16</t>
  </si>
  <si>
    <t>2025-08-17</t>
  </si>
  <si>
    <t>2025-08-18</t>
  </si>
  <si>
    <t>2025-08-19</t>
  </si>
  <si>
    <t>2025-08-21</t>
  </si>
  <si>
    <t>2025-08-22</t>
  </si>
  <si>
    <t>2025-08-23</t>
  </si>
  <si>
    <t>2025-08-24</t>
  </si>
  <si>
    <t>2025-08-25</t>
  </si>
  <si>
    <t>2025-08-26</t>
  </si>
  <si>
    <t>2025-08-27</t>
  </si>
  <si>
    <t>2025-08-28</t>
  </si>
  <si>
    <t>2025-08-29</t>
  </si>
  <si>
    <t>2025-08-30</t>
  </si>
  <si>
    <t>2025-08-31</t>
  </si>
  <si>
    <t>2025-09-01</t>
  </si>
  <si>
    <t>2025-09-03</t>
  </si>
  <si>
    <t>2025-09-04</t>
  </si>
  <si>
    <t>2025-09-06</t>
  </si>
  <si>
    <t>2025-09-07</t>
  </si>
  <si>
    <t>2025-09-08</t>
  </si>
  <si>
    <t>2025-09-09</t>
  </si>
  <si>
    <t>2025-09-10</t>
  </si>
  <si>
    <t>2025-09-11</t>
  </si>
  <si>
    <t>2025-09-12</t>
  </si>
  <si>
    <t>2025-09-13</t>
  </si>
  <si>
    <t>2025-09-14</t>
  </si>
  <si>
    <t>2025-09-15</t>
  </si>
  <si>
    <t>2025-09-16</t>
  </si>
  <si>
    <t>2025-09-17</t>
  </si>
  <si>
    <t>2025-09-18</t>
  </si>
  <si>
    <t>2025-09-19</t>
  </si>
  <si>
    <t>2025-09-20</t>
  </si>
  <si>
    <t>2025-09-21</t>
  </si>
  <si>
    <t>2025-09-22</t>
  </si>
  <si>
    <t>2025-09-24</t>
  </si>
  <si>
    <t>2025-09-25</t>
  </si>
  <si>
    <t>2025-09-26</t>
  </si>
  <si>
    <t>2025-09-27</t>
  </si>
  <si>
    <t>2025-09-28</t>
  </si>
  <si>
    <t>2025-09-29</t>
  </si>
  <si>
    <t>2025-09-30</t>
  </si>
  <si>
    <t>2025-10-01</t>
  </si>
  <si>
    <t>2025-10-02</t>
  </si>
  <si>
    <t>2025-10-04</t>
  </si>
  <si>
    <t>2025-10-05</t>
  </si>
  <si>
    <t>2025-10-06</t>
  </si>
  <si>
    <t>2025-10-07</t>
  </si>
  <si>
    <t>2025-10-08</t>
  </si>
  <si>
    <t>2025-10-09</t>
  </si>
  <si>
    <t>2025-10-10</t>
  </si>
  <si>
    <t>2025-10-11</t>
  </si>
  <si>
    <t>2025-10-12</t>
  </si>
  <si>
    <t>2025-10-13</t>
  </si>
  <si>
    <t>2025-10-15</t>
  </si>
  <si>
    <t>2025-10-16</t>
  </si>
  <si>
    <t>2025-10-17</t>
  </si>
  <si>
    <t>2025-10-19</t>
  </si>
  <si>
    <t>2025-10-20</t>
  </si>
  <si>
    <t>2025-10-21</t>
  </si>
  <si>
    <t>2025-10-22</t>
  </si>
  <si>
    <t>2025-10-23</t>
  </si>
  <si>
    <t>2025-10-25</t>
  </si>
  <si>
    <t>2025-10-26</t>
  </si>
  <si>
    <t>2025-10-27</t>
  </si>
  <si>
    <t>2025-10-28</t>
  </si>
  <si>
    <t>2025-10-29</t>
  </si>
  <si>
    <t>2025-10-30</t>
  </si>
  <si>
    <t>2025-10-31</t>
  </si>
  <si>
    <t>2025-11-01</t>
  </si>
  <si>
    <t>2025-11-02</t>
  </si>
  <si>
    <t>2025-11-03</t>
  </si>
  <si>
    <t>2025-11-04</t>
  </si>
  <si>
    <t>2025-11-05</t>
  </si>
  <si>
    <t>2025-11-06</t>
  </si>
  <si>
    <t>2025-11-07</t>
  </si>
  <si>
    <t>2025-11-08</t>
  </si>
  <si>
    <t>2025-11-09</t>
  </si>
  <si>
    <t>2025-11-10</t>
  </si>
  <si>
    <t>2025-11-11</t>
  </si>
  <si>
    <t>2025-11-12</t>
  </si>
  <si>
    <t>2025-11-13</t>
  </si>
  <si>
    <t>2025-11-14</t>
  </si>
  <si>
    <t>2025-11-15</t>
  </si>
  <si>
    <t>2025-11-16</t>
  </si>
  <si>
    <t>2025-11-17</t>
  </si>
  <si>
    <t>2025-11-18</t>
  </si>
  <si>
    <t>2025-11-19</t>
  </si>
  <si>
    <t>2025-11-20</t>
  </si>
  <si>
    <t>2025-11-21</t>
  </si>
  <si>
    <t>2025-11-22</t>
  </si>
  <si>
    <t>2025-11-23</t>
  </si>
  <si>
    <t>2025-11-24</t>
  </si>
  <si>
    <t>2025-11-25</t>
  </si>
  <si>
    <t>2025-11-26</t>
  </si>
  <si>
    <t>2025-11-27</t>
  </si>
  <si>
    <t>2025-11-29</t>
  </si>
  <si>
    <t>2025-12-01</t>
  </si>
  <si>
    <t>2025-12-02</t>
  </si>
  <si>
    <t>2025-12-03</t>
  </si>
  <si>
    <t>2025-12-04</t>
  </si>
  <si>
    <t>2025-12-05</t>
  </si>
  <si>
    <t>2025-12-06</t>
  </si>
  <si>
    <t>2025-12-07</t>
  </si>
  <si>
    <t>2025-12-08</t>
  </si>
  <si>
    <t>2025-12-09</t>
  </si>
  <si>
    <t>2025-12-10</t>
  </si>
  <si>
    <t>2025-12-11</t>
  </si>
  <si>
    <t>2025-12-12</t>
  </si>
  <si>
    <t>2025-12-13</t>
  </si>
  <si>
    <t>2025-12-14</t>
  </si>
  <si>
    <t>2025-12-15</t>
  </si>
  <si>
    <t>2025-12-16</t>
  </si>
  <si>
    <t>2025-12-17</t>
  </si>
  <si>
    <t>2025-12-18</t>
  </si>
  <si>
    <t>2025-12-20</t>
  </si>
  <si>
    <t>2025-12-21</t>
  </si>
  <si>
    <t>2025-12-22</t>
  </si>
  <si>
    <t>2025-12-23</t>
  </si>
  <si>
    <t>2025-12-24</t>
  </si>
  <si>
    <t>2025-12-25</t>
  </si>
  <si>
    <t>2025-12-26</t>
  </si>
  <si>
    <t>2025-12-27</t>
  </si>
  <si>
    <t>2025-12-29</t>
  </si>
  <si>
    <t>2025-12-30</t>
  </si>
  <si>
    <t>2025-12-31</t>
  </si>
  <si>
    <t>RINA marlina</t>
  </si>
  <si>
    <t xml:space="preserve">  budi santoso  </t>
  </si>
  <si>
    <t xml:space="preserve">  DEWI lestari  </t>
  </si>
  <si>
    <t>andi WIJAYA</t>
  </si>
  <si>
    <t xml:space="preserve">  siti RAHMA  </t>
  </si>
  <si>
    <t>Ahmad Fauzi</t>
  </si>
  <si>
    <t xml:space="preserve">  Sari Yuliana  </t>
  </si>
  <si>
    <t xml:space="preserve"> mega utami </t>
  </si>
  <si>
    <t>Bambang H.</t>
  </si>
  <si>
    <t>Eko Prasetyo</t>
  </si>
  <si>
    <t>Selatan</t>
  </si>
  <si>
    <t>Timur</t>
  </si>
  <si>
    <t>Utara</t>
  </si>
  <si>
    <t>Barat</t>
  </si>
  <si>
    <t>Pusat</t>
  </si>
  <si>
    <t>PROD010</t>
  </si>
  <si>
    <t>PROD005</t>
  </si>
  <si>
    <t>PROD004</t>
  </si>
  <si>
    <t>PROD007</t>
  </si>
  <si>
    <t>PROD001</t>
  </si>
  <si>
    <t>PROD008</t>
  </si>
  <si>
    <t>PROD009</t>
  </si>
  <si>
    <t>PROD002</t>
  </si>
  <si>
    <t>PROD003</t>
  </si>
  <si>
    <t>PROD006</t>
  </si>
  <si>
    <t>Nama Produk</t>
  </si>
  <si>
    <t>Cost</t>
  </si>
  <si>
    <t>Price</t>
  </si>
  <si>
    <t>Laptop Aspire</t>
  </si>
  <si>
    <t>Smartphone X</t>
  </si>
  <si>
    <t>Meja Kerja Minimalis</t>
  </si>
  <si>
    <t>Kursi Ergonomis</t>
  </si>
  <si>
    <t>Kemeja Oxford</t>
  </si>
  <si>
    <t>Celana Chino</t>
  </si>
  <si>
    <t>Monitor 24 Inch</t>
  </si>
  <si>
    <t>Mouse Wireless</t>
  </si>
  <si>
    <t>Rak Buku Kayu</t>
  </si>
  <si>
    <t>Jaket Bomber</t>
  </si>
  <si>
    <t>Elektronik</t>
  </si>
  <si>
    <t>Furnitur</t>
  </si>
  <si>
    <t>Pakaian</t>
  </si>
  <si>
    <t>Januari</t>
  </si>
  <si>
    <t>Februari</t>
  </si>
  <si>
    <t>Maret</t>
  </si>
  <si>
    <t>April</t>
  </si>
  <si>
    <t>Mei</t>
  </si>
  <si>
    <t>Juni</t>
  </si>
  <si>
    <t>Juli</t>
  </si>
  <si>
    <t>Agustus</t>
  </si>
  <si>
    <t>September</t>
  </si>
  <si>
    <t>Oktober</t>
  </si>
  <si>
    <t>November</t>
  </si>
  <si>
    <t>Desember</t>
  </si>
  <si>
    <t>Row Labels</t>
  </si>
  <si>
    <t>Grand Total</t>
  </si>
  <si>
    <t>Sum of Total Revenue</t>
  </si>
  <si>
    <t>Bulan</t>
  </si>
  <si>
    <t>Sum of Jumlah Beli</t>
  </si>
  <si>
    <t>Average of Target Bulanan Kategori</t>
  </si>
  <si>
    <t>Nama Bulan</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</si>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</sst>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p&quot;#,##0"/>
  </numFmts>
  <fonts count="3" x14ac:knownFonts="1">
    <font>
      <sz val="11"/>
      <color theme="1"/>
      <name val="Calibri"/>
      <family val="2"/>
      <scheme val="minor"/>
    </font>
    <font>
      <b/>
      <sz val="11"/>
      <color rgb="FFFFFFFF"/>
      <name val="Calibri"/>
      <family val="2"/>
      <scheme val="minor"/>
    </font>
    <font>
      <b/>
      <sz val="11"/>
      <color theme="1"/>
      <name val="Calibri"/>
      <family val="2"/>
      <scheme val="minor"/>
    </font>
  </fonts>
  <fills count="4">
    <fill>
      <patternFill patternType="none"/>
    </fill>
    <fill>
      <patternFill patternType="gray125"/>
    </fill>
    <fill>
      <patternFill patternType="solid">
        <fgColor rgb="FF1F4E78"/>
        <bgColor indexed="64"/>
      </patternFill>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1" fillId="2" borderId="1" xfId="0" applyFont="1" applyFill="1" applyBorder="1"/>
    <xf numFmtId="164" fontId="0" fillId="0" borderId="0" xfId="0" applyNumberFormat="1"/>
    <xf numFmtId="0" fontId="1" fillId="2" borderId="2" xfId="0" applyFont="1" applyFill="1" applyBorder="1"/>
    <xf numFmtId="0" fontId="1" fillId="3" borderId="0" xfId="0" applyFont="1" applyFill="1"/>
    <xf numFmtId="0" fontId="2" fillId="0" borderId="1" xfId="0" applyFont="1" applyBorder="1" applyAlignment="1">
      <alignment horizontal="center" vertical="center"/>
    </xf>
    <xf numFmtId="164" fontId="2" fillId="0" borderId="1" xfId="0" applyNumberFormat="1" applyFont="1"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0" fontId="0" fillId="0" borderId="0" xfId="0" pivotButton="1"/>
    <xf numFmtId="0" fontId="0" fillId="0" borderId="0" xfId="0" applyAlignment="1">
      <alignment horizontal="left"/>
    </xf>
    <xf numFmtId="14" fontId="0" fillId="0" borderId="1" xfId="0" applyNumberFormat="1" applyBorder="1" applyAlignment="1">
      <alignment horizontal="center" vertical="center"/>
    </xf>
    <xf numFmtId="14" fontId="0" fillId="0" borderId="0" xfId="0" applyNumberFormat="1"/>
    <xf numFmtId="0" fontId="0" fillId="3" borderId="0" xfId="0" applyFill="1" applyAlignment="1">
      <alignment horizontal="center" vertical="center"/>
    </xf>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[Sales_Operations_Analytics_Portfolio.xlsx]PivotTable!PivotTable8</c:name>
    <c:fmtId val="17"/>
  </c:pivotSource>
  <c:chart>
    <c:autoTitleDeleted val="1"/>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263157894736842E-2"/>
          <c:y val="0.17538192341341949"/>
          <c:w val="0.93824561403508777"/>
          <c:h val="0.57973035421854324"/>
        </c:manualLayout>
      </c:layout>
      <c:lineChart>
        <c:grouping val="stacked"/>
        <c:varyColors val="0"/>
        <c:ser>
          <c:idx val="0"/>
          <c:order val="0"/>
          <c:tx>
            <c:strRef>
              <c:f>PivotTable!$B$3</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PivotTable!$A$4:$A$16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PivotTable!$B$4:$B$16</c:f>
              <c:numCache>
                <c:formatCode>"Rp"#,##0</c:formatCode>
                <c:ptCount val="12"/>
                <c:pt idx="0">
                  <c:v>251480000</c:v>
                </c:pt>
                <c:pt idx="1">
                  <c:v>336120000</c:v>
                </c:pt>
                <c:pt idx="2">
                  <c:v>123770000</c:v>
                </c:pt>
                <c:pt idx="3">
                  <c:v>312330000</c:v>
                </c:pt>
                <c:pt idx="4">
                  <c:v>407400000</c:v>
                </c:pt>
                <c:pt idx="5">
                  <c:v>352550000</c:v>
                </c:pt>
                <c:pt idx="6">
                  <c:v>273090000</c:v>
                </c:pt>
                <c:pt idx="7">
                  <c:v>416330000</c:v>
                </c:pt>
                <c:pt idx="8">
                  <c:v>390010000</c:v>
                </c:pt>
                <c:pt idx="9">
                  <c:v>273810000</c:v>
                </c:pt>
                <c:pt idx="10">
                  <c:v>231780000</c:v>
                </c:pt>
                <c:pt idx="11">
                  <c:v>399480000</c:v>
                </c:pt>
              </c:numCache>
            </c:numRef>
          </c:val>
          <c:smooth val="0"/>
          <c:extLst>
            <c:ext xmlns:c16="http://schemas.microsoft.com/office/drawing/2014/chart" uri="{C3380CC4-5D6E-409C-BE32-E72D297353CC}">
              <c16:uniqueId val="{00000000-24E6-4F23-8EB5-62F0F912077F}"/>
            </c:ext>
          </c:extLst>
        </c:ser>
        <c:dLbls>
          <c:showLegendKey val="0"/>
          <c:showVal val="0"/>
          <c:showCatName val="0"/>
          <c:showSerName val="0"/>
          <c:showPercent val="0"/>
          <c:showBubbleSize val="0"/>
        </c:dLbls>
        <c:marker val="1"/>
        <c:smooth val="0"/>
        <c:axId val="1299625039"/>
        <c:axId val="1170720431"/>
      </c:lineChart>
      <c:catAx>
        <c:axId val="1299625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id-ID"/>
          </a:p>
        </c:txPr>
        <c:crossAx val="1170720431"/>
        <c:crosses val="autoZero"/>
        <c:auto val="1"/>
        <c:lblAlgn val="ctr"/>
        <c:lblOffset val="100"/>
        <c:noMultiLvlLbl val="0"/>
      </c:catAx>
      <c:valAx>
        <c:axId val="1170720431"/>
        <c:scaling>
          <c:orientation val="minMax"/>
        </c:scaling>
        <c:delete val="0"/>
        <c:axPos val="l"/>
        <c:numFmt formatCode="&quot;Rp&quot;#,##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29962503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[Sales_Operations_Analytics_Portfolio.xlsx]PivotTable!PivotTable3</c:name>
    <c:fmtId val="2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43864362926198"/>
          <c:y val="0.29329126583581538"/>
          <c:w val="0.85256135637073804"/>
          <c:h val="0.67207667592233411"/>
        </c:manualLayout>
      </c:layout>
      <c:barChart>
        <c:barDir val="bar"/>
        <c:grouping val="clustered"/>
        <c:varyColors val="0"/>
        <c:ser>
          <c:idx val="0"/>
          <c:order val="0"/>
          <c:tx>
            <c:strRef>
              <c:f>PivotTable!$G$2</c:f>
              <c:strCache>
                <c:ptCount val="1"/>
                <c:pt idx="0">
                  <c:v>Sum of Total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PivotTable!$F$3:$F$6</c:f>
              <c:strCache>
                <c:ptCount val="3"/>
                <c:pt idx="0">
                  <c:v>Pakaian</c:v>
                </c:pt>
                <c:pt idx="1">
                  <c:v>Furnitur</c:v>
                </c:pt>
                <c:pt idx="2">
                  <c:v>Elektronik</c:v>
                </c:pt>
              </c:strCache>
            </c:strRef>
          </c:cat>
          <c:val>
            <c:numRef>
              <c:f>PivotTable!$G$3:$G$6</c:f>
              <c:numCache>
                <c:formatCode>"Rp"#,##0</c:formatCode>
                <c:ptCount val="3"/>
                <c:pt idx="0">
                  <c:v>191350000</c:v>
                </c:pt>
                <c:pt idx="1">
                  <c:v>637750000</c:v>
                </c:pt>
                <c:pt idx="2">
                  <c:v>2939050000</c:v>
                </c:pt>
              </c:numCache>
            </c:numRef>
          </c:val>
          <c:extLst>
            <c:ext xmlns:c16="http://schemas.microsoft.com/office/drawing/2014/chart" uri="{C3380CC4-5D6E-409C-BE32-E72D297353CC}">
              <c16:uniqueId val="{00000000-E618-4C57-A73B-012986574332}"/>
            </c:ext>
          </c:extLst>
        </c:ser>
        <c:ser>
          <c:idx val="1"/>
          <c:order val="1"/>
          <c:tx>
            <c:strRef>
              <c:f>PivotTable!$H$2</c:f>
              <c:strCache>
                <c:ptCount val="1"/>
                <c:pt idx="0">
                  <c:v>Sum of Jumlah Beli</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PivotTable!$F$3:$F$6</c:f>
              <c:strCache>
                <c:ptCount val="3"/>
                <c:pt idx="0">
                  <c:v>Pakaian</c:v>
                </c:pt>
                <c:pt idx="1">
                  <c:v>Furnitur</c:v>
                </c:pt>
                <c:pt idx="2">
                  <c:v>Elektronik</c:v>
                </c:pt>
              </c:strCache>
            </c:strRef>
          </c:cat>
          <c:val>
            <c:numRef>
              <c:f>PivotTable!$H$3:$H$6</c:f>
              <c:numCache>
                <c:formatCode>General</c:formatCode>
                <c:ptCount val="3"/>
                <c:pt idx="0">
                  <c:v>646</c:v>
                </c:pt>
                <c:pt idx="1">
                  <c:v>700</c:v>
                </c:pt>
                <c:pt idx="2">
                  <c:v>909</c:v>
                </c:pt>
              </c:numCache>
            </c:numRef>
          </c:val>
          <c:extLst>
            <c:ext xmlns:c16="http://schemas.microsoft.com/office/drawing/2014/chart" uri="{C3380CC4-5D6E-409C-BE32-E72D297353CC}">
              <c16:uniqueId val="{00000001-E618-4C57-A73B-012986574332}"/>
            </c:ext>
          </c:extLst>
        </c:ser>
        <c:dLbls>
          <c:dLblPos val="outEnd"/>
          <c:showLegendKey val="0"/>
          <c:showVal val="1"/>
          <c:showCatName val="0"/>
          <c:showSerName val="0"/>
          <c:showPercent val="0"/>
          <c:showBubbleSize val="0"/>
        </c:dLbls>
        <c:gapWidth val="182"/>
        <c:axId val="1319697775"/>
        <c:axId val="1170728111"/>
      </c:barChart>
      <c:catAx>
        <c:axId val="1319697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170728111"/>
        <c:crosses val="autoZero"/>
        <c:auto val="1"/>
        <c:lblAlgn val="ctr"/>
        <c:lblOffset val="100"/>
        <c:noMultiLvlLbl val="0"/>
      </c:catAx>
      <c:valAx>
        <c:axId val="1170728111"/>
        <c:scaling>
          <c:logBase val="10"/>
          <c:orientation val="minMax"/>
        </c:scaling>
        <c:delete val="1"/>
        <c:axPos val="b"/>
        <c:numFmt formatCode="&quot;Rp&quot;#,##0" sourceLinked="1"/>
        <c:majorTickMark val="out"/>
        <c:minorTickMark val="none"/>
        <c:tickLblPos val="nextTo"/>
        <c:crossAx val="1319697775"/>
        <c:crosses val="autoZero"/>
        <c:crossBetween val="between"/>
      </c:valAx>
      <c:spPr>
        <a:noFill/>
        <a:ln w="25400">
          <a:noFill/>
        </a:ln>
        <a:effectLst/>
      </c:spPr>
    </c:plotArea>
    <c:legend>
      <c:legendPos val="t"/>
      <c:layout>
        <c:manualLayout>
          <c:xMode val="edge"/>
          <c:yMode val="edge"/>
          <c:x val="8.0996610481340894E-2"/>
          <c:y val="5.6737546406398685E-2"/>
          <c:w val="0.78384515258012522"/>
          <c:h val="0.159575466148831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[Sales_Operations_Analytics_Portfolio.xlsx]PivotTable!PivotTable4</c:name>
    <c:fmtId val="6"/>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id-ID"/>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id-ID"/>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id-ID"/>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PivotTable!$G$8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3E9-465F-9A65-354FB441287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3E9-465F-9A65-354FB441287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3E9-465F-9A65-354FB441287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3E9-465F-9A65-354FB441287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3E9-465F-9A65-354FB441287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id-ID"/>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PivotTable!$F$9:$F$14</c:f>
              <c:strCache>
                <c:ptCount val="5"/>
                <c:pt idx="0">
                  <c:v>Pusat</c:v>
                </c:pt>
                <c:pt idx="1">
                  <c:v>Selatan</c:v>
                </c:pt>
                <c:pt idx="2">
                  <c:v>Timur</c:v>
                </c:pt>
                <c:pt idx="3">
                  <c:v>Barat</c:v>
                </c:pt>
                <c:pt idx="4">
                  <c:v>Utara</c:v>
                </c:pt>
              </c:strCache>
            </c:strRef>
          </c:cat>
          <c:val>
            <c:numRef>
              <c:f>PivotTable!$G$9:$G$14</c:f>
              <c:numCache>
                <c:formatCode>"Rp"#,##0</c:formatCode>
                <c:ptCount val="5"/>
                <c:pt idx="0">
                  <c:v>815170000</c:v>
                </c:pt>
                <c:pt idx="1">
                  <c:v>811280000</c:v>
                </c:pt>
                <c:pt idx="2">
                  <c:v>734830000</c:v>
                </c:pt>
                <c:pt idx="3">
                  <c:v>727650000</c:v>
                </c:pt>
                <c:pt idx="4">
                  <c:v>679220000</c:v>
                </c:pt>
              </c:numCache>
            </c:numRef>
          </c:val>
          <c:extLst>
            <c:ext xmlns:c16="http://schemas.microsoft.com/office/drawing/2014/chart" uri="{C3380CC4-5D6E-409C-BE32-E72D297353CC}">
              <c16:uniqueId val="{0000000A-43E9-465F-9A65-354FB441287D}"/>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[Sales_Operations_Analytics_Portfolio.xlsx]PivotTable!PivotTable5</c:name>
    <c:fmtId val="2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496643651626499"/>
          <c:y val="3.8458121301041759E-2"/>
          <c:w val="0.6049068241469816"/>
          <c:h val="0.8416746864975212"/>
        </c:manualLayout>
      </c:layout>
      <c:barChart>
        <c:barDir val="col"/>
        <c:grouping val="clustered"/>
        <c:varyColors val="0"/>
        <c:ser>
          <c:idx val="0"/>
          <c:order val="0"/>
          <c:tx>
            <c:strRef>
              <c:f>PivotTable!$G$17</c:f>
              <c:strCache>
                <c:ptCount val="1"/>
                <c:pt idx="0">
                  <c:v>Sum of Total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PivotTable!$F$18:$F$21</c:f>
              <c:strCache>
                <c:ptCount val="3"/>
                <c:pt idx="0">
                  <c:v>Elektronik</c:v>
                </c:pt>
                <c:pt idx="1">
                  <c:v>Furnitur</c:v>
                </c:pt>
                <c:pt idx="2">
                  <c:v>Pakaian</c:v>
                </c:pt>
              </c:strCache>
            </c:strRef>
          </c:cat>
          <c:val>
            <c:numRef>
              <c:f>PivotTable!$G$18:$G$21</c:f>
              <c:numCache>
                <c:formatCode>"Rp"#,##0</c:formatCode>
                <c:ptCount val="3"/>
                <c:pt idx="0">
                  <c:v>2939050000</c:v>
                </c:pt>
                <c:pt idx="1">
                  <c:v>637750000</c:v>
                </c:pt>
                <c:pt idx="2">
                  <c:v>191350000</c:v>
                </c:pt>
              </c:numCache>
            </c:numRef>
          </c:val>
          <c:extLst>
            <c:ext xmlns:c16="http://schemas.microsoft.com/office/drawing/2014/chart" uri="{C3380CC4-5D6E-409C-BE32-E72D297353CC}">
              <c16:uniqueId val="{00000000-A45F-4AF2-90F5-FB506EF8F931}"/>
            </c:ext>
          </c:extLst>
        </c:ser>
        <c:dLbls>
          <c:showLegendKey val="0"/>
          <c:showVal val="0"/>
          <c:showCatName val="0"/>
          <c:showSerName val="0"/>
          <c:showPercent val="0"/>
          <c:showBubbleSize val="0"/>
        </c:dLbls>
        <c:gapWidth val="219"/>
        <c:overlap val="-27"/>
        <c:axId val="370822495"/>
        <c:axId val="217691887"/>
      </c:barChart>
      <c:lineChart>
        <c:grouping val="standard"/>
        <c:varyColors val="0"/>
        <c:ser>
          <c:idx val="1"/>
          <c:order val="1"/>
          <c:tx>
            <c:strRef>
              <c:f>PivotTable!$H$17</c:f>
              <c:strCache>
                <c:ptCount val="1"/>
                <c:pt idx="0">
                  <c:v>Average of Target Bulanan Kategori</c:v>
                </c:pt>
              </c:strCache>
            </c:strRef>
          </c:tx>
          <c:spPr>
            <a:ln w="28575" cap="rnd">
              <a:solidFill>
                <a:srgbClr val="FF00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PivotTable!$F$18:$F$21</c:f>
              <c:strCache>
                <c:ptCount val="3"/>
                <c:pt idx="0">
                  <c:v>Elektronik</c:v>
                </c:pt>
                <c:pt idx="1">
                  <c:v>Furnitur</c:v>
                </c:pt>
                <c:pt idx="2">
                  <c:v>Pakaian</c:v>
                </c:pt>
              </c:strCache>
            </c:strRef>
          </c:cat>
          <c:val>
            <c:numRef>
              <c:f>PivotTable!$H$18:$H$21</c:f>
              <c:numCache>
                <c:formatCode>"Rp"#,##0</c:formatCode>
                <c:ptCount val="3"/>
                <c:pt idx="0">
                  <c:v>78924050.632911399</c:v>
                </c:pt>
                <c:pt idx="1">
                  <c:v>31019801.980198018</c:v>
                </c:pt>
                <c:pt idx="2">
                  <c:v>23514900.662251655</c:v>
                </c:pt>
              </c:numCache>
            </c:numRef>
          </c:val>
          <c:smooth val="0"/>
          <c:extLst>
            <c:ext xmlns:c16="http://schemas.microsoft.com/office/drawing/2014/chart" uri="{C3380CC4-5D6E-409C-BE32-E72D297353CC}">
              <c16:uniqueId val="{00000001-A45F-4AF2-90F5-FB506EF8F931}"/>
            </c:ext>
          </c:extLst>
        </c:ser>
        <c:dLbls>
          <c:showLegendKey val="0"/>
          <c:showVal val="0"/>
          <c:showCatName val="0"/>
          <c:showSerName val="0"/>
          <c:showPercent val="0"/>
          <c:showBubbleSize val="0"/>
        </c:dLbls>
        <c:marker val="1"/>
        <c:smooth val="0"/>
        <c:axId val="370820639"/>
        <c:axId val="217679887"/>
      </c:lineChart>
      <c:catAx>
        <c:axId val="370822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217691887"/>
        <c:crosses val="autoZero"/>
        <c:auto val="1"/>
        <c:lblAlgn val="ctr"/>
        <c:lblOffset val="100"/>
        <c:noMultiLvlLbl val="0"/>
      </c:catAx>
      <c:valAx>
        <c:axId val="217691887"/>
        <c:scaling>
          <c:orientation val="minMax"/>
          <c:max val="3000000000"/>
        </c:scaling>
        <c:delete val="0"/>
        <c:axPos val="l"/>
        <c:majorGridlines>
          <c:spPr>
            <a:ln w="9525" cap="flat" cmpd="sng" algn="ctr">
              <a:solidFill>
                <a:schemeClr val="tx1">
                  <a:lumMod val="15000"/>
                  <a:lumOff val="85000"/>
                </a:schemeClr>
              </a:solidFill>
              <a:round/>
            </a:ln>
            <a:effectLst/>
          </c:spPr>
        </c:majorGridlines>
        <c:numFmt formatCode="&quot;Rp&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370822495"/>
        <c:crosses val="autoZero"/>
        <c:crossBetween val="between"/>
      </c:valAx>
      <c:valAx>
        <c:axId val="217679887"/>
        <c:scaling>
          <c:orientation val="minMax"/>
          <c:min val="0"/>
        </c:scaling>
        <c:delete val="0"/>
        <c:axPos val="r"/>
        <c:numFmt formatCode="&quot;Rp&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370820639"/>
        <c:crosses val="max"/>
        <c:crossBetween val="between"/>
      </c:valAx>
      <c:catAx>
        <c:axId val="370820639"/>
        <c:scaling>
          <c:orientation val="minMax"/>
        </c:scaling>
        <c:delete val="1"/>
        <c:axPos val="b"/>
        <c:numFmt formatCode="General" sourceLinked="1"/>
        <c:majorTickMark val="out"/>
        <c:minorTickMark val="none"/>
        <c:tickLblPos val="nextTo"/>
        <c:crossAx val="217679887"/>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2.jpeg"/><Relationship Id="rId7" Type="http://schemas.openxmlformats.org/officeDocument/2006/relationships/chart" Target="../charts/chart3.xml"/><Relationship Id="rId2" Type="http://schemas.openxmlformats.org/officeDocument/2006/relationships/hyperlink" Target="https://www.rawpixel.com/search/desktop%20wallpaper%20design%20resource%20background%20downloadable" TargetMode="External"/><Relationship Id="rId1" Type="http://schemas.openxmlformats.org/officeDocument/2006/relationships/image" Target="../media/image1.jpg"/><Relationship Id="rId6" Type="http://schemas.openxmlformats.org/officeDocument/2006/relationships/chart" Target="../charts/chart2.xml"/><Relationship Id="rId5" Type="http://schemas.openxmlformats.org/officeDocument/2006/relationships/chart" Target="../charts/chart1.xml"/><Relationship Id="rId4"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xdr:from>
      <xdr:col>0</xdr:col>
      <xdr:colOff>533400</xdr:colOff>
      <xdr:row>0</xdr:row>
      <xdr:rowOff>114300</xdr:rowOff>
    </xdr:from>
    <xdr:to>
      <xdr:col>17</xdr:col>
      <xdr:colOff>542925</xdr:colOff>
      <xdr:row>3</xdr:row>
      <xdr:rowOff>38100</xdr:rowOff>
    </xdr:to>
    <xdr:sp macro="" textlink="">
      <xdr:nvSpPr>
        <xdr:cNvPr id="2" name="Rectangle: Rounded Corners 1">
          <a:extLst>
            <a:ext uri="{FF2B5EF4-FFF2-40B4-BE49-F238E27FC236}">
              <a16:creationId xmlns:a16="http://schemas.microsoft.com/office/drawing/2014/main" id="{2786A78D-7D8F-D746-87DD-BD380097CDFD}"/>
            </a:ext>
          </a:extLst>
        </xdr:cNvPr>
        <xdr:cNvSpPr/>
      </xdr:nvSpPr>
      <xdr:spPr>
        <a:xfrm>
          <a:off x="533400" y="114300"/>
          <a:ext cx="10372725" cy="495300"/>
        </a:xfrm>
        <a:prstGeom prst="roundRect">
          <a:avLst/>
        </a:prstGeom>
        <a:blipFill dpi="0" rotWithShape="1">
          <a:blip xmlns:r="http://schemas.openxmlformats.org/officeDocument/2006/relationships" r:embed="rId1">
            <a:extLst>
              <a:ext uri="{28A0092B-C50C-407E-A947-70E740481C1C}">
                <a14:useLocalDpi xmlns:a14="http://schemas.microsoft.com/office/drawing/2010/main" val="0"/>
              </a:ext>
              <a:ext uri="{837473B0-CC2E-450A-ABE3-18F120FF3D39}">
                <a1611:picAttrSrcUrl xmlns:a1611="http://schemas.microsoft.com/office/drawing/2016/11/main" r:id="rId2"/>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a:solidFill>
                <a:schemeClr val="tx1"/>
              </a:solidFill>
              <a:latin typeface="Algerian" panose="04020705040A02060702" pitchFamily="82" charset="0"/>
            </a:rPr>
            <a:t>SALES</a:t>
          </a:r>
          <a:r>
            <a:rPr lang="en-US" sz="3200" baseline="0">
              <a:solidFill>
                <a:schemeClr val="tx1"/>
              </a:solidFill>
              <a:latin typeface="Algerian" panose="04020705040A02060702" pitchFamily="82" charset="0"/>
            </a:rPr>
            <a:t> PERFORMANCE TAHUN 2025</a:t>
          </a:r>
          <a:endParaRPr lang="id-ID" sz="3200">
            <a:solidFill>
              <a:schemeClr val="tx1"/>
            </a:solidFill>
            <a:latin typeface="Algerian" panose="04020705040A02060702" pitchFamily="82" charset="0"/>
          </a:endParaRPr>
        </a:p>
      </xdr:txBody>
    </xdr:sp>
    <xdr:clientData/>
  </xdr:twoCellAnchor>
  <xdr:twoCellAnchor>
    <xdr:from>
      <xdr:col>0</xdr:col>
      <xdr:colOff>581024</xdr:colOff>
      <xdr:row>7</xdr:row>
      <xdr:rowOff>161925</xdr:rowOff>
    </xdr:from>
    <xdr:to>
      <xdr:col>8</xdr:col>
      <xdr:colOff>485775</xdr:colOff>
      <xdr:row>16</xdr:row>
      <xdr:rowOff>114300</xdr:rowOff>
    </xdr:to>
    <xdr:sp macro="" textlink="">
      <xdr:nvSpPr>
        <xdr:cNvPr id="3" name="Rectangle: Rounded Corners 2">
          <a:extLst>
            <a:ext uri="{FF2B5EF4-FFF2-40B4-BE49-F238E27FC236}">
              <a16:creationId xmlns:a16="http://schemas.microsoft.com/office/drawing/2014/main" id="{0505B4B7-3B2A-5C31-BC99-31C6394259E8}"/>
            </a:ext>
          </a:extLst>
        </xdr:cNvPr>
        <xdr:cNvSpPr/>
      </xdr:nvSpPr>
      <xdr:spPr>
        <a:xfrm>
          <a:off x="581024" y="1495425"/>
          <a:ext cx="4781551" cy="1666875"/>
        </a:xfrm>
        <a:prstGeom prst="roundRect">
          <a:avLst/>
        </a:prstGeom>
        <a:blipFill dpi="0" rotWithShape="1">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7</xdr:col>
      <xdr:colOff>381000</xdr:colOff>
      <xdr:row>3</xdr:row>
      <xdr:rowOff>114300</xdr:rowOff>
    </xdr:from>
    <xdr:to>
      <xdr:col>10</xdr:col>
      <xdr:colOff>457200</xdr:colOff>
      <xdr:row>6</xdr:row>
      <xdr:rowOff>9525</xdr:rowOff>
    </xdr:to>
    <xdr:sp macro="" textlink="">
      <xdr:nvSpPr>
        <xdr:cNvPr id="4" name="Rectangle: Rounded Corners 3">
          <a:extLst>
            <a:ext uri="{FF2B5EF4-FFF2-40B4-BE49-F238E27FC236}">
              <a16:creationId xmlns:a16="http://schemas.microsoft.com/office/drawing/2014/main" id="{3734C33A-148A-44ED-B88F-2908B1A85EC4}"/>
            </a:ext>
          </a:extLst>
        </xdr:cNvPr>
        <xdr:cNvSpPr/>
      </xdr:nvSpPr>
      <xdr:spPr>
        <a:xfrm>
          <a:off x="4648200" y="685800"/>
          <a:ext cx="1905000" cy="466725"/>
        </a:xfrm>
        <a:prstGeom prst="roundRect">
          <a:avLst/>
        </a:prstGeom>
        <a:blipFill dpi="0" rotWithShape="1">
          <a:blip xmlns:r="http://schemas.openxmlformats.org/officeDocument/2006/relationships" r:embed="rId3"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1</xdr:col>
      <xdr:colOff>19049</xdr:colOff>
      <xdr:row>18</xdr:row>
      <xdr:rowOff>66673</xdr:rowOff>
    </xdr:from>
    <xdr:to>
      <xdr:col>8</xdr:col>
      <xdr:colOff>504825</xdr:colOff>
      <xdr:row>29</xdr:row>
      <xdr:rowOff>9524</xdr:rowOff>
    </xdr:to>
    <xdr:sp macro="" textlink="">
      <xdr:nvSpPr>
        <xdr:cNvPr id="5" name="Rectangle: Rounded Corners 4">
          <a:extLst>
            <a:ext uri="{FF2B5EF4-FFF2-40B4-BE49-F238E27FC236}">
              <a16:creationId xmlns:a16="http://schemas.microsoft.com/office/drawing/2014/main" id="{EC9F526D-8A84-4449-88CA-CD3E86A54858}"/>
            </a:ext>
          </a:extLst>
        </xdr:cNvPr>
        <xdr:cNvSpPr/>
      </xdr:nvSpPr>
      <xdr:spPr>
        <a:xfrm>
          <a:off x="628649" y="3495673"/>
          <a:ext cx="4752976" cy="2038351"/>
        </a:xfrm>
        <a:prstGeom prst="roundRect">
          <a:avLst/>
        </a:prstGeom>
        <a:blipFill dpi="0" rotWithShape="1">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9</xdr:col>
      <xdr:colOff>371474</xdr:colOff>
      <xdr:row>18</xdr:row>
      <xdr:rowOff>66675</xdr:rowOff>
    </xdr:from>
    <xdr:to>
      <xdr:col>17</xdr:col>
      <xdr:colOff>57150</xdr:colOff>
      <xdr:row>29</xdr:row>
      <xdr:rowOff>47625</xdr:rowOff>
    </xdr:to>
    <xdr:sp macro="" textlink="">
      <xdr:nvSpPr>
        <xdr:cNvPr id="6" name="Rectangle: Rounded Corners 5">
          <a:extLst>
            <a:ext uri="{FF2B5EF4-FFF2-40B4-BE49-F238E27FC236}">
              <a16:creationId xmlns:a16="http://schemas.microsoft.com/office/drawing/2014/main" id="{4825BF2F-E930-4B13-B99F-CCDEE8678DE8}"/>
            </a:ext>
          </a:extLst>
        </xdr:cNvPr>
        <xdr:cNvSpPr/>
      </xdr:nvSpPr>
      <xdr:spPr>
        <a:xfrm>
          <a:off x="5857874" y="3495675"/>
          <a:ext cx="4562476" cy="2076450"/>
        </a:xfrm>
        <a:prstGeom prst="roundRect">
          <a:avLst/>
        </a:prstGeom>
        <a:blipFill dpi="0" rotWithShape="1">
          <a:blip xmlns:r="http://schemas.openxmlformats.org/officeDocument/2006/relationships" r:embed="rId1">
            <a:extLst>
              <a:ext uri="{28A0092B-C50C-407E-A947-70E740481C1C}">
                <a14:useLocalDpi xmlns:a14="http://schemas.microsoft.com/office/drawing/2010/main" val="0"/>
              </a:ext>
              <a:ext uri="{837473B0-CC2E-450A-ABE3-18F120FF3D39}">
                <a1611:picAttrSrcUrl xmlns:a1611="http://schemas.microsoft.com/office/drawing/2016/11/main" r:id="rId2"/>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9</xdr:col>
      <xdr:colOff>419100</xdr:colOff>
      <xdr:row>7</xdr:row>
      <xdr:rowOff>152399</xdr:rowOff>
    </xdr:from>
    <xdr:to>
      <xdr:col>14</xdr:col>
      <xdr:colOff>495299</xdr:colOff>
      <xdr:row>16</xdr:row>
      <xdr:rowOff>38100</xdr:rowOff>
    </xdr:to>
    <xdr:sp macro="" textlink="">
      <xdr:nvSpPr>
        <xdr:cNvPr id="7" name="Rectangle: Rounded Corners 6">
          <a:extLst>
            <a:ext uri="{FF2B5EF4-FFF2-40B4-BE49-F238E27FC236}">
              <a16:creationId xmlns:a16="http://schemas.microsoft.com/office/drawing/2014/main" id="{C1DCA173-E70D-4B1F-AF3A-B4A332CA5A19}"/>
            </a:ext>
          </a:extLst>
        </xdr:cNvPr>
        <xdr:cNvSpPr/>
      </xdr:nvSpPr>
      <xdr:spPr>
        <a:xfrm>
          <a:off x="5905500" y="1485899"/>
          <a:ext cx="3124199" cy="1600201"/>
        </a:xfrm>
        <a:prstGeom prst="roundRect">
          <a:avLst/>
        </a:prstGeom>
        <a:blipFill dpi="0" rotWithShape="1">
          <a:blip xmlns:r="http://schemas.openxmlformats.org/officeDocument/2006/relationships" r:embed="rId4"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1</xdr:col>
      <xdr:colOff>57150</xdr:colOff>
      <xdr:row>9</xdr:row>
      <xdr:rowOff>152400</xdr:rowOff>
    </xdr:from>
    <xdr:to>
      <xdr:col>8</xdr:col>
      <xdr:colOff>228600</xdr:colOff>
      <xdr:row>16</xdr:row>
      <xdr:rowOff>76200</xdr:rowOff>
    </xdr:to>
    <xdr:graphicFrame macro="">
      <xdr:nvGraphicFramePr>
        <xdr:cNvPr id="8" name="Chart 7">
          <a:extLst>
            <a:ext uri="{FF2B5EF4-FFF2-40B4-BE49-F238E27FC236}">
              <a16:creationId xmlns:a16="http://schemas.microsoft.com/office/drawing/2014/main" id="{09CAF7E2-CC06-4760-8A99-6079AF4EFB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400049</xdr:colOff>
      <xdr:row>19</xdr:row>
      <xdr:rowOff>161925</xdr:rowOff>
    </xdr:from>
    <xdr:to>
      <xdr:col>17</xdr:col>
      <xdr:colOff>0</xdr:colOff>
      <xdr:row>28</xdr:row>
      <xdr:rowOff>152400</xdr:rowOff>
    </xdr:to>
    <xdr:graphicFrame macro="">
      <xdr:nvGraphicFramePr>
        <xdr:cNvPr id="9" name="Chart 8">
          <a:extLst>
            <a:ext uri="{FF2B5EF4-FFF2-40B4-BE49-F238E27FC236}">
              <a16:creationId xmlns:a16="http://schemas.microsoft.com/office/drawing/2014/main" id="{75DC0B34-5E03-4047-A6E8-78AB105AB2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190500</xdr:colOff>
      <xdr:row>9</xdr:row>
      <xdr:rowOff>66676</xdr:rowOff>
    </xdr:from>
    <xdr:to>
      <xdr:col>14</xdr:col>
      <xdr:colOff>76200</xdr:colOff>
      <xdr:row>15</xdr:row>
      <xdr:rowOff>123826</xdr:rowOff>
    </xdr:to>
    <xdr:graphicFrame macro="">
      <xdr:nvGraphicFramePr>
        <xdr:cNvPr id="10" name="Chart 9">
          <a:extLst>
            <a:ext uri="{FF2B5EF4-FFF2-40B4-BE49-F238E27FC236}">
              <a16:creationId xmlns:a16="http://schemas.microsoft.com/office/drawing/2014/main" id="{C90D2A9B-F8D1-4080-8B4B-7EE54F343F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171450</xdr:colOff>
      <xdr:row>20</xdr:row>
      <xdr:rowOff>0</xdr:rowOff>
    </xdr:from>
    <xdr:to>
      <xdr:col>8</xdr:col>
      <xdr:colOff>457200</xdr:colOff>
      <xdr:row>28</xdr:row>
      <xdr:rowOff>95249</xdr:rowOff>
    </xdr:to>
    <xdr:graphicFrame macro="">
      <xdr:nvGraphicFramePr>
        <xdr:cNvPr id="11" name="Chart 10">
          <a:extLst>
            <a:ext uri="{FF2B5EF4-FFF2-40B4-BE49-F238E27FC236}">
              <a16:creationId xmlns:a16="http://schemas.microsoft.com/office/drawing/2014/main" id="{54EC0717-6DA0-470B-B3AE-B97D677801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571500</xdr:colOff>
      <xdr:row>8</xdr:row>
      <xdr:rowOff>57150</xdr:rowOff>
    </xdr:from>
    <xdr:to>
      <xdr:col>7</xdr:col>
      <xdr:colOff>57150</xdr:colOff>
      <xdr:row>9</xdr:row>
      <xdr:rowOff>104775</xdr:rowOff>
    </xdr:to>
    <xdr:sp macro="" textlink="">
      <xdr:nvSpPr>
        <xdr:cNvPr id="12" name="Rectangle 11">
          <a:extLst>
            <a:ext uri="{FF2B5EF4-FFF2-40B4-BE49-F238E27FC236}">
              <a16:creationId xmlns:a16="http://schemas.microsoft.com/office/drawing/2014/main" id="{5E799CB7-7EB3-AEC5-BA53-1E3200071C01}"/>
            </a:ext>
          </a:extLst>
        </xdr:cNvPr>
        <xdr:cNvSpPr/>
      </xdr:nvSpPr>
      <xdr:spPr>
        <a:xfrm>
          <a:off x="1790700" y="1581150"/>
          <a:ext cx="2533650" cy="2381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solidFill>
            </a:rPr>
            <a:t>TREN PENJUALAN</a:t>
          </a:r>
          <a:r>
            <a:rPr lang="en-US" sz="1100" baseline="0">
              <a:solidFill>
                <a:schemeClr val="tx1"/>
              </a:solidFill>
            </a:rPr>
            <a:t> SETIAP BULAN</a:t>
          </a:r>
          <a:endParaRPr lang="id-ID" sz="1100">
            <a:solidFill>
              <a:schemeClr val="tx1"/>
            </a:solidFill>
          </a:endParaRPr>
        </a:p>
      </xdr:txBody>
    </xdr:sp>
    <xdr:clientData/>
  </xdr:twoCellAnchor>
  <xdr:twoCellAnchor>
    <xdr:from>
      <xdr:col>2</xdr:col>
      <xdr:colOff>581025</xdr:colOff>
      <xdr:row>18</xdr:row>
      <xdr:rowOff>95250</xdr:rowOff>
    </xdr:from>
    <xdr:to>
      <xdr:col>7</xdr:col>
      <xdr:colOff>66675</xdr:colOff>
      <xdr:row>19</xdr:row>
      <xdr:rowOff>142875</xdr:rowOff>
    </xdr:to>
    <xdr:sp macro="" textlink="">
      <xdr:nvSpPr>
        <xdr:cNvPr id="13" name="Rectangle 12">
          <a:extLst>
            <a:ext uri="{FF2B5EF4-FFF2-40B4-BE49-F238E27FC236}">
              <a16:creationId xmlns:a16="http://schemas.microsoft.com/office/drawing/2014/main" id="{272379F0-6008-4537-9986-32828EAE97C7}"/>
            </a:ext>
          </a:extLst>
        </xdr:cNvPr>
        <xdr:cNvSpPr/>
      </xdr:nvSpPr>
      <xdr:spPr>
        <a:xfrm>
          <a:off x="1800225" y="3524250"/>
          <a:ext cx="2533650" cy="2381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solidFill>
            </a:rPr>
            <a:t>PENJUALAN</a:t>
          </a:r>
          <a:r>
            <a:rPr lang="en-US" sz="1100" baseline="0">
              <a:solidFill>
                <a:schemeClr val="tx1"/>
              </a:solidFill>
            </a:rPr>
            <a:t> VS TARGET</a:t>
          </a:r>
          <a:endParaRPr lang="id-ID" sz="1100">
            <a:solidFill>
              <a:schemeClr val="tx1"/>
            </a:solidFill>
          </a:endParaRPr>
        </a:p>
      </xdr:txBody>
    </xdr:sp>
    <xdr:clientData/>
  </xdr:twoCellAnchor>
  <xdr:twoCellAnchor>
    <xdr:from>
      <xdr:col>11</xdr:col>
      <xdr:colOff>123825</xdr:colOff>
      <xdr:row>18</xdr:row>
      <xdr:rowOff>114299</xdr:rowOff>
    </xdr:from>
    <xdr:to>
      <xdr:col>15</xdr:col>
      <xdr:colOff>219075</xdr:colOff>
      <xdr:row>19</xdr:row>
      <xdr:rowOff>161924</xdr:rowOff>
    </xdr:to>
    <xdr:sp macro="" textlink="">
      <xdr:nvSpPr>
        <xdr:cNvPr id="14" name="Rectangle 13">
          <a:extLst>
            <a:ext uri="{FF2B5EF4-FFF2-40B4-BE49-F238E27FC236}">
              <a16:creationId xmlns:a16="http://schemas.microsoft.com/office/drawing/2014/main" id="{23BCA4CC-5F19-49B5-B1AC-7CB96B0E86D9}"/>
            </a:ext>
          </a:extLst>
        </xdr:cNvPr>
        <xdr:cNvSpPr/>
      </xdr:nvSpPr>
      <xdr:spPr>
        <a:xfrm>
          <a:off x="6829425" y="3543299"/>
          <a:ext cx="2533650" cy="2381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solidFill>
            </a:rPr>
            <a:t>REVENUE VS JUMLAH</a:t>
          </a:r>
          <a:r>
            <a:rPr lang="en-US" sz="1100" baseline="0">
              <a:solidFill>
                <a:schemeClr val="tx1"/>
              </a:solidFill>
            </a:rPr>
            <a:t> BARANG TERJUAL</a:t>
          </a:r>
        </a:p>
      </xdr:txBody>
    </xdr:sp>
    <xdr:clientData/>
  </xdr:twoCellAnchor>
  <xdr:twoCellAnchor>
    <xdr:from>
      <xdr:col>10</xdr:col>
      <xdr:colOff>95250</xdr:colOff>
      <xdr:row>7</xdr:row>
      <xdr:rowOff>142875</xdr:rowOff>
    </xdr:from>
    <xdr:to>
      <xdr:col>14</xdr:col>
      <xdr:colOff>190500</xdr:colOff>
      <xdr:row>8</xdr:row>
      <xdr:rowOff>180975</xdr:rowOff>
    </xdr:to>
    <xdr:sp macro="" textlink="">
      <xdr:nvSpPr>
        <xdr:cNvPr id="15" name="Rectangle 14">
          <a:extLst>
            <a:ext uri="{FF2B5EF4-FFF2-40B4-BE49-F238E27FC236}">
              <a16:creationId xmlns:a16="http://schemas.microsoft.com/office/drawing/2014/main" id="{1E3EA05D-9C9C-4A35-BF86-31CE898CB4E8}"/>
            </a:ext>
          </a:extLst>
        </xdr:cNvPr>
        <xdr:cNvSpPr/>
      </xdr:nvSpPr>
      <xdr:spPr>
        <a:xfrm>
          <a:off x="6191250" y="1476375"/>
          <a:ext cx="2533650" cy="2286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solidFill>
            </a:rPr>
            <a:t>WILAYAH </a:t>
          </a:r>
          <a:endParaRPr lang="id-ID" sz="1100">
            <a:solidFill>
              <a:schemeClr val="tx1"/>
            </a:solidFill>
          </a:endParaRPr>
        </a:p>
      </xdr:txBody>
    </xdr:sp>
    <xdr:clientData/>
  </xdr:twoCellAnchor>
  <xdr:twoCellAnchor>
    <xdr:from>
      <xdr:col>7</xdr:col>
      <xdr:colOff>466725</xdr:colOff>
      <xdr:row>3</xdr:row>
      <xdr:rowOff>104776</xdr:rowOff>
    </xdr:from>
    <xdr:to>
      <xdr:col>10</xdr:col>
      <xdr:colOff>419100</xdr:colOff>
      <xdr:row>4</xdr:row>
      <xdr:rowOff>104776</xdr:rowOff>
    </xdr:to>
    <xdr:sp macro="" textlink="">
      <xdr:nvSpPr>
        <xdr:cNvPr id="16" name="Rectangle 15">
          <a:extLst>
            <a:ext uri="{FF2B5EF4-FFF2-40B4-BE49-F238E27FC236}">
              <a16:creationId xmlns:a16="http://schemas.microsoft.com/office/drawing/2014/main" id="{F71C0130-08D3-46C0-9BE9-BDF6A9F21456}"/>
            </a:ext>
          </a:extLst>
        </xdr:cNvPr>
        <xdr:cNvSpPr/>
      </xdr:nvSpPr>
      <xdr:spPr>
        <a:xfrm>
          <a:off x="4733925" y="676276"/>
          <a:ext cx="1781175" cy="190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solidFill>
            </a:rPr>
            <a:t>REVENUE</a:t>
          </a:r>
          <a:endParaRPr lang="id-ID" sz="1100">
            <a:solidFill>
              <a:schemeClr val="tx1"/>
            </a:solidFill>
          </a:endParaRPr>
        </a:p>
      </xdr:txBody>
    </xdr:sp>
    <xdr:clientData/>
  </xdr:twoCellAnchor>
  <xdr:twoCellAnchor>
    <xdr:from>
      <xdr:col>7</xdr:col>
      <xdr:colOff>561975</xdr:colOff>
      <xdr:row>4</xdr:row>
      <xdr:rowOff>85725</xdr:rowOff>
    </xdr:from>
    <xdr:to>
      <xdr:col>10</xdr:col>
      <xdr:colOff>323850</xdr:colOff>
      <xdr:row>5</xdr:row>
      <xdr:rowOff>161925</xdr:rowOff>
    </xdr:to>
    <xdr:sp macro="" textlink="PivotTable!$A$20">
      <xdr:nvSpPr>
        <xdr:cNvPr id="17" name="TextBox 16">
          <a:extLst>
            <a:ext uri="{FF2B5EF4-FFF2-40B4-BE49-F238E27FC236}">
              <a16:creationId xmlns:a16="http://schemas.microsoft.com/office/drawing/2014/main" id="{971F76B2-6AAA-0105-90B9-B629C7F00CAF}"/>
            </a:ext>
          </a:extLst>
        </xdr:cNvPr>
        <xdr:cNvSpPr txBox="1"/>
      </xdr:nvSpPr>
      <xdr:spPr>
        <a:xfrm>
          <a:off x="4829175" y="847725"/>
          <a:ext cx="15906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124134E-A0AF-4758-93F6-958C0C839B9A}" type="TxLink">
            <a:rPr lang="en-US" sz="1600" b="0" i="0" u="none" strike="noStrike">
              <a:solidFill>
                <a:srgbClr val="000000"/>
              </a:solidFill>
              <a:latin typeface="Calibri"/>
              <a:ea typeface="Calibri"/>
              <a:cs typeface="Calibri"/>
            </a:rPr>
            <a:pPr algn="ctr"/>
            <a:t>Rp3,768,150,000</a:t>
          </a:fld>
          <a:endParaRPr lang="id-ID" sz="1600"/>
        </a:p>
      </xdr:txBody>
    </xdr:sp>
    <xdr:clientData/>
  </xdr:twoCellAnchor>
  <xdr:twoCellAnchor editAs="oneCell">
    <xdr:from>
      <xdr:col>1</xdr:col>
      <xdr:colOff>95249</xdr:colOff>
      <xdr:row>3</xdr:row>
      <xdr:rowOff>95250</xdr:rowOff>
    </xdr:from>
    <xdr:to>
      <xdr:col>6</xdr:col>
      <xdr:colOff>314325</xdr:colOff>
      <xdr:row>6</xdr:row>
      <xdr:rowOff>180975</xdr:rowOff>
    </xdr:to>
    <mc:AlternateContent xmlns:mc="http://schemas.openxmlformats.org/markup-compatibility/2006" xmlns:a14="http://schemas.microsoft.com/office/drawing/2010/main">
      <mc:Choice Requires="a14">
        <xdr:graphicFrame macro="">
          <xdr:nvGraphicFramePr>
            <xdr:cNvPr id="18" name="Wilayah">
              <a:extLst>
                <a:ext uri="{FF2B5EF4-FFF2-40B4-BE49-F238E27FC236}">
                  <a16:creationId xmlns:a16="http://schemas.microsoft.com/office/drawing/2014/main" id="{0F2137B9-FBE0-CBA0-77AF-9FE7D4C20E64}"/>
                </a:ext>
              </a:extLst>
            </xdr:cNvPr>
            <xdr:cNvGraphicFramePr/>
          </xdr:nvGraphicFramePr>
          <xdr:xfrm>
            <a:off x="0" y="0"/>
            <a:ext cx="0" cy="0"/>
          </xdr:xfrm>
          <a:graphic>
            <a:graphicData uri="http://schemas.microsoft.com/office/drawing/2010/slicer">
              <sle:slicer xmlns:sle="http://schemas.microsoft.com/office/drawing/2010/slicer" name="Wilayah"/>
            </a:graphicData>
          </a:graphic>
        </xdr:graphicFrame>
      </mc:Choice>
      <mc:Fallback xmlns="">
        <xdr:sp macro="" textlink="">
          <xdr:nvSpPr>
            <xdr:cNvPr id="0" name=""/>
            <xdr:cNvSpPr>
              <a:spLocks noTextEdit="1"/>
            </xdr:cNvSpPr>
          </xdr:nvSpPr>
          <xdr:spPr>
            <a:xfrm>
              <a:off x="704849" y="666750"/>
              <a:ext cx="3267076" cy="657225"/>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38.399709259262" createdVersion="8" refreshedVersion="8" minRefreshableVersion="3" recordCount="1000" xr:uid="{831C7C9D-A732-4555-AB2E-A9FD15911782}">
  <cacheSource type="worksheet">
    <worksheetSource ref="A1:M1001" sheet="Data_Transaksi"/>
  </cacheSource>
  <cacheFields count="13">
    <cacheField name="ID Transaksi" numFmtId="0">
      <sharedItems/>
    </cacheField>
    <cacheField name="Tanggal" numFmtId="14">
      <sharedItems/>
    </cacheField>
    <cacheField name="Bulan" numFmtId="0">
      <sharedItems containsSemiMixedTypes="0" containsString="0" containsNumber="1" containsInteger="1" minValue="1" maxValue="12" count="12">
        <n v="1"/>
        <n v="2"/>
        <n v="3"/>
        <n v="4"/>
        <n v="5"/>
        <n v="6"/>
        <n v="7"/>
        <n v="8"/>
        <n v="9"/>
        <n v="10"/>
        <n v="11"/>
        <n v="12"/>
      </sharedItems>
    </cacheField>
    <cacheField name="Nama Bulan" numFmtId="0">
      <sharedItems count="12">
        <s v="Jan"/>
        <s v="Feb"/>
        <s v="Mar"/>
        <s v="Apr"/>
        <s v="May"/>
        <s v="Jun"/>
        <s v="Jul"/>
        <s v="Aug"/>
        <s v="Sep"/>
        <s v="Oct"/>
        <s v="Nov"/>
        <s v="Dec"/>
      </sharedItems>
    </cacheField>
    <cacheField name="Nama Pelanggan Raw" numFmtId="0">
      <sharedItems/>
    </cacheField>
    <cacheField name="Nama Pelanggan Clean" numFmtId="0">
      <sharedItems/>
    </cacheField>
    <cacheField name="Wilayah" numFmtId="0">
      <sharedItems count="5">
        <s v="Selatan"/>
        <s v="Timur"/>
        <s v="Utara"/>
        <s v="Barat"/>
        <s v="Pusat"/>
      </sharedItems>
    </cacheField>
    <cacheField name="SKU" numFmtId="0">
      <sharedItems/>
    </cacheField>
    <cacheField name="Jumlah Beli" numFmtId="0">
      <sharedItems containsSemiMixedTypes="0" containsString="0" containsNumber="1" containsInteger="1" minValue="1" maxValue="10"/>
    </cacheField>
    <cacheField name="Kategori" numFmtId="0">
      <sharedItems count="3">
        <s v="Pakaian"/>
        <s v="Furnitur"/>
        <s v="Elektronik"/>
      </sharedItems>
    </cacheField>
    <cacheField name="Harga Jual" numFmtId="164">
      <sharedItems containsSemiMixedTypes="0" containsString="0" containsNumber="1" containsInteger="1" minValue="250000" maxValue="7500000"/>
    </cacheField>
    <cacheField name="Total Revenue" numFmtId="164">
      <sharedItems containsSemiMixedTypes="0" containsString="0" containsNumber="1" containsInteger="1" minValue="250000" maxValue="75000000"/>
    </cacheField>
    <cacheField name="Target Bulanan Kategori" numFmtId="164">
      <sharedItems containsSemiMixedTypes="0" containsString="0" containsNumber="1" containsInteger="1" minValue="15000000" maxValue="110000000"/>
    </cacheField>
  </cacheFields>
  <extLst>
    <ext xmlns:x14="http://schemas.microsoft.com/office/spreadsheetml/2009/9/main" uri="{725AE2AE-9491-48be-B2B4-4EB974FC3084}">
      <x14:pivotCacheDefinition pivotCacheId="17917896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TXN-2025-001"/>
    <s v="2025-01-01"/>
    <x v="0"/>
    <x v="0"/>
    <s v="RINA marlina"/>
    <s v="Rina Marlina"/>
    <x v="0"/>
    <s v="PROD010"/>
    <n v="2"/>
    <x v="0"/>
    <n v="350000"/>
    <n v="700000"/>
    <n v="15000000"/>
  </r>
  <r>
    <s v="TXN-2025-002"/>
    <s v="2025-01-01"/>
    <x v="0"/>
    <x v="0"/>
    <s v="  budi santoso  "/>
    <s v="Budi Santoso"/>
    <x v="0"/>
    <s v="PROD005"/>
    <n v="1"/>
    <x v="0"/>
    <n v="250000"/>
    <n v="250000"/>
    <n v="15000000"/>
  </r>
  <r>
    <s v="TXN-2025-003"/>
    <s v="2025-01-01"/>
    <x v="0"/>
    <x v="0"/>
    <s v="  DEWI lestari  "/>
    <s v="Dewi Lestari"/>
    <x v="1"/>
    <s v="PROD004"/>
    <n v="1"/>
    <x v="1"/>
    <n v="950000"/>
    <n v="950000"/>
    <n v="20000000"/>
  </r>
  <r>
    <s v="TXN-2025-004"/>
    <s v="2025-01-01"/>
    <x v="0"/>
    <x v="0"/>
    <s v="andi WIJAYA"/>
    <s v="Andi Wijaya"/>
    <x v="1"/>
    <s v="PROD010"/>
    <n v="1"/>
    <x v="0"/>
    <n v="350000"/>
    <n v="350000"/>
    <n v="15000000"/>
  </r>
  <r>
    <s v="TXN-2025-005"/>
    <s v="2025-01-01"/>
    <x v="0"/>
    <x v="0"/>
    <s v="andi WIJAYA"/>
    <s v="Andi Wijaya"/>
    <x v="2"/>
    <s v="PROD007"/>
    <n v="1"/>
    <x v="2"/>
    <n v="1800000"/>
    <n v="1800000"/>
    <n v="50000000"/>
  </r>
  <r>
    <s v="TXN-2025-006"/>
    <s v="2025-01-01"/>
    <x v="0"/>
    <x v="0"/>
    <s v="  siti RAHMA  "/>
    <s v="Siti Rahma"/>
    <x v="3"/>
    <s v="PROD010"/>
    <n v="10"/>
    <x v="0"/>
    <n v="350000"/>
    <n v="3500000"/>
    <n v="15000000"/>
  </r>
  <r>
    <s v="TXN-2025-007"/>
    <s v="2025-01-02"/>
    <x v="0"/>
    <x v="0"/>
    <s v="RINA marlina"/>
    <s v="Rina Marlina"/>
    <x v="2"/>
    <s v="PROD001"/>
    <n v="1"/>
    <x v="2"/>
    <n v="7500000"/>
    <n v="7500000"/>
    <n v="50000000"/>
  </r>
  <r>
    <s v="TXN-2025-008"/>
    <s v="2025-01-02"/>
    <x v="0"/>
    <x v="0"/>
    <s v="Ahmad Fauzi"/>
    <s v="Ahmad Fauzi"/>
    <x v="1"/>
    <s v="PROD008"/>
    <n v="3"/>
    <x v="2"/>
    <n v="250000"/>
    <n v="750000"/>
    <n v="50000000"/>
  </r>
  <r>
    <s v="TXN-2025-009"/>
    <s v="2025-01-02"/>
    <x v="0"/>
    <x v="0"/>
    <s v="RINA marlina"/>
    <s v="Rina Marlina"/>
    <x v="2"/>
    <s v="PROD009"/>
    <n v="1"/>
    <x v="1"/>
    <n v="650000"/>
    <n v="650000"/>
    <n v="20000000"/>
  </r>
  <r>
    <s v="TXN-2025-010"/>
    <s v="2025-01-03"/>
    <x v="0"/>
    <x v="0"/>
    <s v="  Sari Yuliana  "/>
    <s v="Sari Yuliana"/>
    <x v="0"/>
    <s v="PROD005"/>
    <n v="2"/>
    <x v="0"/>
    <n v="250000"/>
    <n v="500000"/>
    <n v="15000000"/>
  </r>
  <r>
    <s v="TXN-2025-011"/>
    <s v="2025-01-04"/>
    <x v="0"/>
    <x v="0"/>
    <s v=" mega utami "/>
    <s v="Mega Utami"/>
    <x v="0"/>
    <s v="PROD005"/>
    <n v="3"/>
    <x v="0"/>
    <n v="250000"/>
    <n v="750000"/>
    <n v="15000000"/>
  </r>
  <r>
    <s v="TXN-2025-012"/>
    <s v="2025-01-04"/>
    <x v="0"/>
    <x v="0"/>
    <s v="  budi santoso  "/>
    <s v="Budi Santoso"/>
    <x v="1"/>
    <s v="PROD008"/>
    <n v="2"/>
    <x v="2"/>
    <n v="250000"/>
    <n v="500000"/>
    <n v="50000000"/>
  </r>
  <r>
    <s v="TXN-2025-013"/>
    <s v="2025-01-04"/>
    <x v="0"/>
    <x v="0"/>
    <s v="  budi santoso  "/>
    <s v="Budi Santoso"/>
    <x v="1"/>
    <s v="PROD004"/>
    <n v="2"/>
    <x v="1"/>
    <n v="950000"/>
    <n v="1900000"/>
    <n v="20000000"/>
  </r>
  <r>
    <s v="TXN-2025-014"/>
    <s v="2025-01-04"/>
    <x v="0"/>
    <x v="0"/>
    <s v="RINA marlina"/>
    <s v="Rina Marlina"/>
    <x v="2"/>
    <s v="PROD007"/>
    <n v="2"/>
    <x v="2"/>
    <n v="1800000"/>
    <n v="3600000"/>
    <n v="50000000"/>
  </r>
  <r>
    <s v="TXN-2025-015"/>
    <s v="2025-01-05"/>
    <x v="0"/>
    <x v="0"/>
    <s v="andi WIJAYA"/>
    <s v="Andi Wijaya"/>
    <x v="2"/>
    <s v="PROD005"/>
    <n v="1"/>
    <x v="0"/>
    <n v="250000"/>
    <n v="250000"/>
    <n v="15000000"/>
  </r>
  <r>
    <s v="TXN-2025-016"/>
    <s v="2025-01-05"/>
    <x v="0"/>
    <x v="0"/>
    <s v="andi WIJAYA"/>
    <s v="Andi Wijaya"/>
    <x v="0"/>
    <s v="PROD008"/>
    <n v="4"/>
    <x v="2"/>
    <n v="250000"/>
    <n v="1000000"/>
    <n v="50000000"/>
  </r>
  <r>
    <s v="TXN-2025-017"/>
    <s v="2025-01-05"/>
    <x v="0"/>
    <x v="0"/>
    <s v="Ahmad Fauzi"/>
    <s v="Ahmad Fauzi"/>
    <x v="3"/>
    <s v="PROD002"/>
    <n v="3"/>
    <x v="2"/>
    <n v="4500000"/>
    <n v="13500000"/>
    <n v="50000000"/>
  </r>
  <r>
    <s v="TXN-2025-018"/>
    <s v="2025-01-05"/>
    <x v="0"/>
    <x v="0"/>
    <s v="  Sari Yuliana  "/>
    <s v="Sari Yuliana"/>
    <x v="3"/>
    <s v="PROD001"/>
    <n v="5"/>
    <x v="2"/>
    <n v="7500000"/>
    <n v="37500000"/>
    <n v="50000000"/>
  </r>
  <r>
    <s v="TXN-2025-019"/>
    <s v="2025-01-05"/>
    <x v="0"/>
    <x v="0"/>
    <s v="  budi santoso  "/>
    <s v="Budi Santoso"/>
    <x v="1"/>
    <s v="PROD003"/>
    <n v="1"/>
    <x v="1"/>
    <n v="1200000"/>
    <n v="1200000"/>
    <n v="20000000"/>
  </r>
  <r>
    <s v="TXN-2025-020"/>
    <s v="2025-01-06"/>
    <x v="0"/>
    <x v="0"/>
    <s v="Ahmad Fauzi"/>
    <s v="Ahmad Fauzi"/>
    <x v="2"/>
    <s v="PROD008"/>
    <n v="3"/>
    <x v="2"/>
    <n v="250000"/>
    <n v="750000"/>
    <n v="50000000"/>
  </r>
  <r>
    <s v="TXN-2025-021"/>
    <s v="2025-01-06"/>
    <x v="0"/>
    <x v="0"/>
    <s v="andi WIJAYA"/>
    <s v="Andi Wijaya"/>
    <x v="3"/>
    <s v="PROD007"/>
    <n v="5"/>
    <x v="2"/>
    <n v="1800000"/>
    <n v="9000000"/>
    <n v="50000000"/>
  </r>
  <r>
    <s v="TXN-2025-022"/>
    <s v="2025-01-06"/>
    <x v="0"/>
    <x v="0"/>
    <s v="Ahmad Fauzi"/>
    <s v="Ahmad Fauzi"/>
    <x v="2"/>
    <s v="PROD008"/>
    <n v="1"/>
    <x v="2"/>
    <n v="250000"/>
    <n v="250000"/>
    <n v="50000000"/>
  </r>
  <r>
    <s v="TXN-2025-023"/>
    <s v="2025-01-06"/>
    <x v="0"/>
    <x v="0"/>
    <s v=" mega utami "/>
    <s v="Mega Utami"/>
    <x v="4"/>
    <s v="PROD008"/>
    <n v="1"/>
    <x v="2"/>
    <n v="250000"/>
    <n v="250000"/>
    <n v="50000000"/>
  </r>
  <r>
    <s v="TXN-2025-024"/>
    <s v="2025-01-07"/>
    <x v="0"/>
    <x v="0"/>
    <s v="andi WIJAYA"/>
    <s v="Andi Wijaya"/>
    <x v="0"/>
    <s v="PROD004"/>
    <n v="3"/>
    <x v="1"/>
    <n v="950000"/>
    <n v="2850000"/>
    <n v="20000000"/>
  </r>
  <r>
    <s v="TXN-2025-025"/>
    <s v="2025-01-07"/>
    <x v="0"/>
    <x v="0"/>
    <s v="Bambang H."/>
    <s v="Bambang H."/>
    <x v="2"/>
    <s v="PROD006"/>
    <n v="2"/>
    <x v="0"/>
    <n v="280000"/>
    <n v="560000"/>
    <n v="15000000"/>
  </r>
  <r>
    <s v="TXN-2025-026"/>
    <s v="2025-01-08"/>
    <x v="0"/>
    <x v="0"/>
    <s v="  Sari Yuliana  "/>
    <s v="Sari Yuliana"/>
    <x v="2"/>
    <s v="PROD010"/>
    <n v="3"/>
    <x v="0"/>
    <n v="350000"/>
    <n v="1050000"/>
    <n v="15000000"/>
  </r>
  <r>
    <s v="TXN-2025-027"/>
    <s v="2025-01-08"/>
    <x v="0"/>
    <x v="0"/>
    <s v="  DEWI lestari  "/>
    <s v="Dewi Lestari"/>
    <x v="2"/>
    <s v="PROD003"/>
    <n v="1"/>
    <x v="1"/>
    <n v="1200000"/>
    <n v="1200000"/>
    <n v="20000000"/>
  </r>
  <r>
    <s v="TXN-2025-028"/>
    <s v="2025-01-08"/>
    <x v="0"/>
    <x v="0"/>
    <s v="  budi santoso  "/>
    <s v="Budi Santoso"/>
    <x v="3"/>
    <s v="PROD006"/>
    <n v="3"/>
    <x v="0"/>
    <n v="280000"/>
    <n v="840000"/>
    <n v="15000000"/>
  </r>
  <r>
    <s v="TXN-2025-029"/>
    <s v="2025-01-09"/>
    <x v="0"/>
    <x v="0"/>
    <s v="  siti RAHMA  "/>
    <s v="Siti Rahma"/>
    <x v="2"/>
    <s v="PROD006"/>
    <n v="1"/>
    <x v="0"/>
    <n v="280000"/>
    <n v="280000"/>
    <n v="15000000"/>
  </r>
  <r>
    <s v="TXN-2025-030"/>
    <s v="2025-01-09"/>
    <x v="0"/>
    <x v="0"/>
    <s v=" mega utami "/>
    <s v="Mega Utami"/>
    <x v="4"/>
    <s v="PROD006"/>
    <n v="1"/>
    <x v="0"/>
    <n v="280000"/>
    <n v="280000"/>
    <n v="15000000"/>
  </r>
  <r>
    <s v="TXN-2025-031"/>
    <s v="2025-01-09"/>
    <x v="0"/>
    <x v="0"/>
    <s v="Eko Prasetyo"/>
    <s v="Eko Prasetyo"/>
    <x v="3"/>
    <s v="PROD007"/>
    <n v="1"/>
    <x v="2"/>
    <n v="1800000"/>
    <n v="1800000"/>
    <n v="50000000"/>
  </r>
  <r>
    <s v="TXN-2025-032"/>
    <s v="2025-01-10"/>
    <x v="0"/>
    <x v="0"/>
    <s v="  DEWI lestari  "/>
    <s v="Dewi Lestari"/>
    <x v="1"/>
    <s v="PROD003"/>
    <n v="3"/>
    <x v="1"/>
    <n v="1200000"/>
    <n v="3600000"/>
    <n v="20000000"/>
  </r>
  <r>
    <s v="TXN-2025-033"/>
    <s v="2025-01-10"/>
    <x v="0"/>
    <x v="0"/>
    <s v="  siti RAHMA  "/>
    <s v="Siti Rahma"/>
    <x v="1"/>
    <s v="PROD006"/>
    <n v="2"/>
    <x v="0"/>
    <n v="280000"/>
    <n v="560000"/>
    <n v="15000000"/>
  </r>
  <r>
    <s v="TXN-2025-034"/>
    <s v="2025-01-12"/>
    <x v="0"/>
    <x v="0"/>
    <s v="andi WIJAYA"/>
    <s v="Andi Wijaya"/>
    <x v="0"/>
    <s v="PROD009"/>
    <n v="2"/>
    <x v="1"/>
    <n v="650000"/>
    <n v="1300000"/>
    <n v="20000000"/>
  </r>
  <r>
    <s v="TXN-2025-035"/>
    <s v="2025-01-12"/>
    <x v="0"/>
    <x v="0"/>
    <s v="Eko Prasetyo"/>
    <s v="Eko Prasetyo"/>
    <x v="4"/>
    <s v="PROD009"/>
    <n v="1"/>
    <x v="1"/>
    <n v="650000"/>
    <n v="650000"/>
    <n v="20000000"/>
  </r>
  <r>
    <s v="TXN-2025-036"/>
    <s v="2025-01-12"/>
    <x v="0"/>
    <x v="0"/>
    <s v="RINA marlina"/>
    <s v="Rina Marlina"/>
    <x v="2"/>
    <s v="PROD002"/>
    <n v="4"/>
    <x v="2"/>
    <n v="4500000"/>
    <n v="18000000"/>
    <n v="50000000"/>
  </r>
  <r>
    <s v="TXN-2025-037"/>
    <s v="2025-01-13"/>
    <x v="0"/>
    <x v="0"/>
    <s v="RINA marlina"/>
    <s v="Rina Marlina"/>
    <x v="4"/>
    <s v="PROD006"/>
    <n v="1"/>
    <x v="0"/>
    <n v="280000"/>
    <n v="280000"/>
    <n v="15000000"/>
  </r>
  <r>
    <s v="TXN-2025-038"/>
    <s v="2025-01-13"/>
    <x v="0"/>
    <x v="0"/>
    <s v=" mega utami "/>
    <s v="Mega Utami"/>
    <x v="1"/>
    <s v="PROD004"/>
    <n v="3"/>
    <x v="1"/>
    <n v="950000"/>
    <n v="2850000"/>
    <n v="20000000"/>
  </r>
  <r>
    <s v="TXN-2025-039"/>
    <s v="2025-01-13"/>
    <x v="0"/>
    <x v="0"/>
    <s v="RINA marlina"/>
    <s v="Rina Marlina"/>
    <x v="2"/>
    <s v="PROD008"/>
    <n v="2"/>
    <x v="2"/>
    <n v="250000"/>
    <n v="500000"/>
    <n v="50000000"/>
  </r>
  <r>
    <s v="TXN-2025-040"/>
    <s v="2025-01-13"/>
    <x v="0"/>
    <x v="0"/>
    <s v="Eko Prasetyo"/>
    <s v="Eko Prasetyo"/>
    <x v="4"/>
    <s v="PROD002"/>
    <n v="1"/>
    <x v="2"/>
    <n v="4500000"/>
    <n v="4500000"/>
    <n v="50000000"/>
  </r>
  <r>
    <s v="TXN-2025-041"/>
    <s v="2025-01-14"/>
    <x v="0"/>
    <x v="0"/>
    <s v="Eko Prasetyo"/>
    <s v="Eko Prasetyo"/>
    <x v="3"/>
    <s v="PROD005"/>
    <n v="2"/>
    <x v="0"/>
    <n v="250000"/>
    <n v="500000"/>
    <n v="15000000"/>
  </r>
  <r>
    <s v="TXN-2025-042"/>
    <s v="2025-01-14"/>
    <x v="0"/>
    <x v="0"/>
    <s v="  Sari Yuliana  "/>
    <s v="Sari Yuliana"/>
    <x v="2"/>
    <s v="PROD008"/>
    <n v="1"/>
    <x v="2"/>
    <n v="250000"/>
    <n v="250000"/>
    <n v="50000000"/>
  </r>
  <r>
    <s v="TXN-2025-043"/>
    <s v="2025-01-14"/>
    <x v="0"/>
    <x v="0"/>
    <s v="  DEWI lestari  "/>
    <s v="Dewi Lestari"/>
    <x v="3"/>
    <s v="PROD004"/>
    <n v="3"/>
    <x v="1"/>
    <n v="950000"/>
    <n v="2850000"/>
    <n v="20000000"/>
  </r>
  <r>
    <s v="TXN-2025-044"/>
    <s v="2025-01-14"/>
    <x v="0"/>
    <x v="0"/>
    <s v="  budi santoso  "/>
    <s v="Budi Santoso"/>
    <x v="4"/>
    <s v="PROD003"/>
    <n v="2"/>
    <x v="1"/>
    <n v="1200000"/>
    <n v="2400000"/>
    <n v="20000000"/>
  </r>
  <r>
    <s v="TXN-2025-045"/>
    <s v="2025-01-15"/>
    <x v="0"/>
    <x v="0"/>
    <s v="Bambang H."/>
    <s v="Bambang H."/>
    <x v="2"/>
    <s v="PROD002"/>
    <n v="1"/>
    <x v="2"/>
    <n v="4500000"/>
    <n v="4500000"/>
    <n v="50000000"/>
  </r>
  <r>
    <s v="TXN-2025-046"/>
    <s v="2025-01-15"/>
    <x v="0"/>
    <x v="0"/>
    <s v="Ahmad Fauzi"/>
    <s v="Ahmad Fauzi"/>
    <x v="0"/>
    <s v="PROD001"/>
    <n v="4"/>
    <x v="2"/>
    <n v="7500000"/>
    <n v="30000000"/>
    <n v="50000000"/>
  </r>
  <r>
    <s v="TXN-2025-047"/>
    <s v="2025-01-15"/>
    <x v="0"/>
    <x v="0"/>
    <s v="RINA marlina"/>
    <s v="Rina Marlina"/>
    <x v="0"/>
    <s v="PROD005"/>
    <n v="1"/>
    <x v="0"/>
    <n v="250000"/>
    <n v="250000"/>
    <n v="15000000"/>
  </r>
  <r>
    <s v="TXN-2025-048"/>
    <s v="2025-01-16"/>
    <x v="0"/>
    <x v="0"/>
    <s v=" mega utami "/>
    <s v="Mega Utami"/>
    <x v="1"/>
    <s v="PROD007"/>
    <n v="2"/>
    <x v="2"/>
    <n v="1800000"/>
    <n v="3600000"/>
    <n v="50000000"/>
  </r>
  <r>
    <s v="TXN-2025-049"/>
    <s v="2025-01-17"/>
    <x v="0"/>
    <x v="0"/>
    <s v="RINA marlina"/>
    <s v="Rina Marlina"/>
    <x v="2"/>
    <s v="PROD010"/>
    <n v="4"/>
    <x v="0"/>
    <n v="350000"/>
    <n v="1400000"/>
    <n v="15000000"/>
  </r>
  <r>
    <s v="TXN-2025-050"/>
    <s v="2025-01-18"/>
    <x v="0"/>
    <x v="0"/>
    <s v="Ahmad Fauzi"/>
    <s v="Ahmad Fauzi"/>
    <x v="4"/>
    <s v="PROD007"/>
    <n v="2"/>
    <x v="2"/>
    <n v="1800000"/>
    <n v="3600000"/>
    <n v="50000000"/>
  </r>
  <r>
    <s v="TXN-2025-051"/>
    <s v="2025-01-19"/>
    <x v="0"/>
    <x v="0"/>
    <s v="  DEWI lestari  "/>
    <s v="Dewi Lestari"/>
    <x v="0"/>
    <s v="PROD004"/>
    <n v="1"/>
    <x v="1"/>
    <n v="950000"/>
    <n v="950000"/>
    <n v="20000000"/>
  </r>
  <r>
    <s v="TXN-2025-052"/>
    <s v="2025-01-19"/>
    <x v="0"/>
    <x v="0"/>
    <s v="  Sari Yuliana  "/>
    <s v="Sari Yuliana"/>
    <x v="1"/>
    <s v="PROD003"/>
    <n v="5"/>
    <x v="1"/>
    <n v="1200000"/>
    <n v="6000000"/>
    <n v="20000000"/>
  </r>
  <r>
    <s v="TXN-2025-053"/>
    <s v="2025-01-20"/>
    <x v="0"/>
    <x v="0"/>
    <s v="Eko Prasetyo"/>
    <s v="Eko Prasetyo"/>
    <x v="2"/>
    <s v="PROD006"/>
    <n v="2"/>
    <x v="0"/>
    <n v="280000"/>
    <n v="560000"/>
    <n v="15000000"/>
  </r>
  <r>
    <s v="TXN-2025-054"/>
    <s v="2025-01-20"/>
    <x v="0"/>
    <x v="0"/>
    <s v="  Sari Yuliana  "/>
    <s v="Sari Yuliana"/>
    <x v="0"/>
    <s v="PROD010"/>
    <n v="1"/>
    <x v="0"/>
    <n v="350000"/>
    <n v="350000"/>
    <n v="15000000"/>
  </r>
  <r>
    <s v="TXN-2025-055"/>
    <s v="2025-01-20"/>
    <x v="0"/>
    <x v="0"/>
    <s v="andi WIJAYA"/>
    <s v="Andi Wijaya"/>
    <x v="2"/>
    <s v="PROD006"/>
    <n v="1"/>
    <x v="0"/>
    <n v="280000"/>
    <n v="280000"/>
    <n v="15000000"/>
  </r>
  <r>
    <s v="TXN-2025-056"/>
    <s v="2025-01-21"/>
    <x v="0"/>
    <x v="0"/>
    <s v="RINA marlina"/>
    <s v="Rina Marlina"/>
    <x v="1"/>
    <s v="PROD004"/>
    <n v="3"/>
    <x v="1"/>
    <n v="950000"/>
    <n v="2850000"/>
    <n v="20000000"/>
  </r>
  <r>
    <s v="TXN-2025-057"/>
    <s v="2025-01-21"/>
    <x v="0"/>
    <x v="0"/>
    <s v="  budi santoso  "/>
    <s v="Budi Santoso"/>
    <x v="4"/>
    <s v="PROD003"/>
    <n v="2"/>
    <x v="1"/>
    <n v="1200000"/>
    <n v="2400000"/>
    <n v="20000000"/>
  </r>
  <r>
    <s v="TXN-2025-058"/>
    <s v="2025-01-22"/>
    <x v="0"/>
    <x v="0"/>
    <s v="andi WIJAYA"/>
    <s v="Andi Wijaya"/>
    <x v="1"/>
    <s v="PROD008"/>
    <n v="2"/>
    <x v="2"/>
    <n v="250000"/>
    <n v="500000"/>
    <n v="50000000"/>
  </r>
  <r>
    <s v="TXN-2025-059"/>
    <s v="2025-01-22"/>
    <x v="0"/>
    <x v="0"/>
    <s v="  DEWI lestari  "/>
    <s v="Dewi Lestari"/>
    <x v="4"/>
    <s v="PROD009"/>
    <n v="4"/>
    <x v="1"/>
    <n v="650000"/>
    <n v="2600000"/>
    <n v="20000000"/>
  </r>
  <r>
    <s v="TXN-2025-060"/>
    <s v="2025-01-22"/>
    <x v="0"/>
    <x v="0"/>
    <s v="RINA marlina"/>
    <s v="Rina Marlina"/>
    <x v="3"/>
    <s v="PROD008"/>
    <n v="3"/>
    <x v="2"/>
    <n v="250000"/>
    <n v="750000"/>
    <n v="50000000"/>
  </r>
  <r>
    <s v="TXN-2025-061"/>
    <s v="2025-01-23"/>
    <x v="0"/>
    <x v="0"/>
    <s v="andi WIJAYA"/>
    <s v="Andi Wijaya"/>
    <x v="0"/>
    <s v="PROD008"/>
    <n v="1"/>
    <x v="2"/>
    <n v="250000"/>
    <n v="250000"/>
    <n v="50000000"/>
  </r>
  <r>
    <s v="TXN-2025-062"/>
    <s v="2025-01-23"/>
    <x v="0"/>
    <x v="0"/>
    <s v="RINA marlina"/>
    <s v="Rina Marlina"/>
    <x v="3"/>
    <s v="PROD005"/>
    <n v="1"/>
    <x v="0"/>
    <n v="250000"/>
    <n v="250000"/>
    <n v="15000000"/>
  </r>
  <r>
    <s v="TXN-2025-063"/>
    <s v="2025-01-25"/>
    <x v="0"/>
    <x v="0"/>
    <s v=" mega utami "/>
    <s v="Mega Utami"/>
    <x v="4"/>
    <s v="PROD008"/>
    <n v="1"/>
    <x v="2"/>
    <n v="250000"/>
    <n v="250000"/>
    <n v="50000000"/>
  </r>
  <r>
    <s v="TXN-2025-064"/>
    <s v="2025-01-25"/>
    <x v="0"/>
    <x v="0"/>
    <s v="  DEWI lestari  "/>
    <s v="Dewi Lestari"/>
    <x v="2"/>
    <s v="PROD001"/>
    <n v="3"/>
    <x v="2"/>
    <n v="7500000"/>
    <n v="22500000"/>
    <n v="50000000"/>
  </r>
  <r>
    <s v="TXN-2025-065"/>
    <s v="2025-01-25"/>
    <x v="0"/>
    <x v="0"/>
    <s v="Bambang H."/>
    <s v="Bambang H."/>
    <x v="4"/>
    <s v="PROD002"/>
    <n v="1"/>
    <x v="2"/>
    <n v="4500000"/>
    <n v="4500000"/>
    <n v="50000000"/>
  </r>
  <r>
    <s v="TXN-2025-066"/>
    <s v="2025-01-26"/>
    <x v="0"/>
    <x v="0"/>
    <s v="Eko Prasetyo"/>
    <s v="Eko Prasetyo"/>
    <x v="4"/>
    <s v="PROD007"/>
    <n v="2"/>
    <x v="2"/>
    <n v="1800000"/>
    <n v="3600000"/>
    <n v="50000000"/>
  </r>
  <r>
    <s v="TXN-2025-067"/>
    <s v="2025-01-26"/>
    <x v="0"/>
    <x v="0"/>
    <s v="  siti RAHMA  "/>
    <s v="Siti Rahma"/>
    <x v="2"/>
    <s v="PROD009"/>
    <n v="3"/>
    <x v="1"/>
    <n v="650000"/>
    <n v="1950000"/>
    <n v="20000000"/>
  </r>
  <r>
    <s v="TXN-2025-068"/>
    <s v="2025-01-26"/>
    <x v="0"/>
    <x v="0"/>
    <s v="Eko Prasetyo"/>
    <s v="Eko Prasetyo"/>
    <x v="3"/>
    <s v="PROD008"/>
    <n v="4"/>
    <x v="2"/>
    <n v="250000"/>
    <n v="1000000"/>
    <n v="50000000"/>
  </r>
  <r>
    <s v="TXN-2025-069"/>
    <s v="2025-01-27"/>
    <x v="0"/>
    <x v="0"/>
    <s v="Eko Prasetyo"/>
    <s v="Eko Prasetyo"/>
    <x v="0"/>
    <s v="PROD004"/>
    <n v="1"/>
    <x v="1"/>
    <n v="950000"/>
    <n v="950000"/>
    <n v="20000000"/>
  </r>
  <r>
    <s v="TXN-2025-070"/>
    <s v="2025-01-28"/>
    <x v="0"/>
    <x v="0"/>
    <s v="andi WIJAYA"/>
    <s v="Andi Wijaya"/>
    <x v="4"/>
    <s v="PROD004"/>
    <n v="3"/>
    <x v="1"/>
    <n v="950000"/>
    <n v="2850000"/>
    <n v="20000000"/>
  </r>
  <r>
    <s v="TXN-2025-071"/>
    <s v="2025-01-28"/>
    <x v="0"/>
    <x v="0"/>
    <s v="  DEWI lestari  "/>
    <s v="Dewi Lestari"/>
    <x v="4"/>
    <s v="PROD010"/>
    <n v="1"/>
    <x v="0"/>
    <n v="350000"/>
    <n v="350000"/>
    <n v="15000000"/>
  </r>
  <r>
    <s v="TXN-2025-072"/>
    <s v="2025-01-28"/>
    <x v="0"/>
    <x v="0"/>
    <s v="RINA marlina"/>
    <s v="Rina Marlina"/>
    <x v="0"/>
    <s v="PROD006"/>
    <n v="3"/>
    <x v="0"/>
    <n v="280000"/>
    <n v="840000"/>
    <n v="15000000"/>
  </r>
  <r>
    <s v="TXN-2025-073"/>
    <s v="2025-01-28"/>
    <x v="0"/>
    <x v="0"/>
    <s v="  Sari Yuliana  "/>
    <s v="Sari Yuliana"/>
    <x v="4"/>
    <s v="PROD001"/>
    <n v="1"/>
    <x v="2"/>
    <n v="7500000"/>
    <n v="7500000"/>
    <n v="50000000"/>
  </r>
  <r>
    <s v="TXN-2025-074"/>
    <s v="2025-01-28"/>
    <x v="0"/>
    <x v="0"/>
    <s v="  siti RAHMA  "/>
    <s v="Siti Rahma"/>
    <x v="0"/>
    <s v="PROD001"/>
    <n v="1"/>
    <x v="2"/>
    <n v="7500000"/>
    <n v="7500000"/>
    <n v="50000000"/>
  </r>
  <r>
    <s v="TXN-2025-075"/>
    <s v="2025-01-29"/>
    <x v="0"/>
    <x v="0"/>
    <s v="Ahmad Fauzi"/>
    <s v="Ahmad Fauzi"/>
    <x v="0"/>
    <s v="PROD005"/>
    <n v="3"/>
    <x v="0"/>
    <n v="250000"/>
    <n v="750000"/>
    <n v="15000000"/>
  </r>
  <r>
    <s v="TXN-2025-076"/>
    <s v="2025-01-29"/>
    <x v="0"/>
    <x v="0"/>
    <s v="andi WIJAYA"/>
    <s v="Andi Wijaya"/>
    <x v="0"/>
    <s v="PROD008"/>
    <n v="1"/>
    <x v="2"/>
    <n v="250000"/>
    <n v="250000"/>
    <n v="50000000"/>
  </r>
  <r>
    <s v="TXN-2025-077"/>
    <s v="2025-01-30"/>
    <x v="0"/>
    <x v="0"/>
    <s v="  siti RAHMA  "/>
    <s v="Siti Rahma"/>
    <x v="2"/>
    <s v="PROD010"/>
    <n v="1"/>
    <x v="0"/>
    <n v="350000"/>
    <n v="350000"/>
    <n v="15000000"/>
  </r>
  <r>
    <s v="TXN-2025-078"/>
    <s v="2025-01-31"/>
    <x v="0"/>
    <x v="0"/>
    <s v="Bambang H."/>
    <s v="Bambang H."/>
    <x v="3"/>
    <s v="PROD008"/>
    <n v="3"/>
    <x v="2"/>
    <n v="250000"/>
    <n v="750000"/>
    <n v="50000000"/>
  </r>
  <r>
    <s v="TXN-2025-079"/>
    <s v="2025-02-02"/>
    <x v="1"/>
    <x v="1"/>
    <s v=" mega utami "/>
    <s v="Mega Utami"/>
    <x v="3"/>
    <s v="PROD005"/>
    <n v="3"/>
    <x v="0"/>
    <n v="250000"/>
    <n v="750000"/>
    <n v="16500000"/>
  </r>
  <r>
    <s v="TXN-2025-080"/>
    <s v="2025-02-02"/>
    <x v="1"/>
    <x v="1"/>
    <s v="  DEWI lestari  "/>
    <s v="Dewi Lestari"/>
    <x v="1"/>
    <s v="PROD009"/>
    <n v="2"/>
    <x v="1"/>
    <n v="650000"/>
    <n v="1300000"/>
    <n v="22000000"/>
  </r>
  <r>
    <s v="TXN-2025-081"/>
    <s v="2025-02-02"/>
    <x v="1"/>
    <x v="1"/>
    <s v="Ahmad Fauzi"/>
    <s v="Ahmad Fauzi"/>
    <x v="2"/>
    <s v="PROD001"/>
    <n v="2"/>
    <x v="2"/>
    <n v="7500000"/>
    <n v="15000000"/>
    <n v="55000000"/>
  </r>
  <r>
    <s v="TXN-2025-082"/>
    <s v="2025-02-03"/>
    <x v="1"/>
    <x v="1"/>
    <s v="andi WIJAYA"/>
    <s v="Andi Wijaya"/>
    <x v="1"/>
    <s v="PROD002"/>
    <n v="2"/>
    <x v="2"/>
    <n v="4500000"/>
    <n v="9000000"/>
    <n v="55000000"/>
  </r>
  <r>
    <s v="TXN-2025-083"/>
    <s v="2025-02-03"/>
    <x v="1"/>
    <x v="1"/>
    <s v="Eko Prasetyo"/>
    <s v="Eko Prasetyo"/>
    <x v="3"/>
    <s v="PROD007"/>
    <n v="1"/>
    <x v="2"/>
    <n v="1800000"/>
    <n v="1800000"/>
    <n v="55000000"/>
  </r>
  <r>
    <s v="TXN-2025-084"/>
    <s v="2025-02-03"/>
    <x v="1"/>
    <x v="1"/>
    <s v="  budi santoso  "/>
    <s v="Budi Santoso"/>
    <x v="3"/>
    <s v="PROD003"/>
    <n v="1"/>
    <x v="1"/>
    <n v="1200000"/>
    <n v="1200000"/>
    <n v="22000000"/>
  </r>
  <r>
    <s v="TXN-2025-085"/>
    <s v="2025-02-03"/>
    <x v="1"/>
    <x v="1"/>
    <s v="andi WIJAYA"/>
    <s v="Andi Wijaya"/>
    <x v="3"/>
    <s v="PROD005"/>
    <n v="1"/>
    <x v="0"/>
    <n v="250000"/>
    <n v="250000"/>
    <n v="16500000"/>
  </r>
  <r>
    <s v="TXN-2025-086"/>
    <s v="2025-02-04"/>
    <x v="1"/>
    <x v="1"/>
    <s v="  budi santoso  "/>
    <s v="Budi Santoso"/>
    <x v="4"/>
    <s v="PROD006"/>
    <n v="4"/>
    <x v="0"/>
    <n v="280000"/>
    <n v="1120000"/>
    <n v="16500000"/>
  </r>
  <r>
    <s v="TXN-2025-087"/>
    <s v="2025-02-04"/>
    <x v="1"/>
    <x v="1"/>
    <s v="Eko Prasetyo"/>
    <s v="Eko Prasetyo"/>
    <x v="1"/>
    <s v="PROD007"/>
    <n v="2"/>
    <x v="2"/>
    <n v="1800000"/>
    <n v="3600000"/>
    <n v="55000000"/>
  </r>
  <r>
    <s v="TXN-2025-088"/>
    <s v="2025-02-04"/>
    <x v="1"/>
    <x v="1"/>
    <s v=" mega utami "/>
    <s v="Mega Utami"/>
    <x v="2"/>
    <s v="PROD006"/>
    <n v="2"/>
    <x v="0"/>
    <n v="280000"/>
    <n v="560000"/>
    <n v="16500000"/>
  </r>
  <r>
    <s v="TXN-2025-089"/>
    <s v="2025-02-04"/>
    <x v="1"/>
    <x v="1"/>
    <s v="  DEWI lestari  "/>
    <s v="Dewi Lestari"/>
    <x v="1"/>
    <s v="PROD001"/>
    <n v="2"/>
    <x v="2"/>
    <n v="7500000"/>
    <n v="15000000"/>
    <n v="55000000"/>
  </r>
  <r>
    <s v="TXN-2025-090"/>
    <s v="2025-02-04"/>
    <x v="1"/>
    <x v="1"/>
    <s v="RINA marlina"/>
    <s v="Rina Marlina"/>
    <x v="3"/>
    <s v="PROD007"/>
    <n v="5"/>
    <x v="2"/>
    <n v="1800000"/>
    <n v="9000000"/>
    <n v="55000000"/>
  </r>
  <r>
    <s v="TXN-2025-091"/>
    <s v="2025-02-05"/>
    <x v="1"/>
    <x v="1"/>
    <s v="andi WIJAYA"/>
    <s v="Andi Wijaya"/>
    <x v="2"/>
    <s v="PROD001"/>
    <n v="1"/>
    <x v="2"/>
    <n v="7500000"/>
    <n v="7500000"/>
    <n v="55000000"/>
  </r>
  <r>
    <s v="TXN-2025-092"/>
    <s v="2025-02-05"/>
    <x v="1"/>
    <x v="1"/>
    <s v="  Sari Yuliana  "/>
    <s v="Sari Yuliana"/>
    <x v="1"/>
    <s v="PROD010"/>
    <n v="2"/>
    <x v="0"/>
    <n v="350000"/>
    <n v="700000"/>
    <n v="16500000"/>
  </r>
  <r>
    <s v="TXN-2025-093"/>
    <s v="2025-02-05"/>
    <x v="1"/>
    <x v="1"/>
    <s v="Eko Prasetyo"/>
    <s v="Eko Prasetyo"/>
    <x v="3"/>
    <s v="PROD009"/>
    <n v="2"/>
    <x v="1"/>
    <n v="650000"/>
    <n v="1300000"/>
    <n v="22000000"/>
  </r>
  <r>
    <s v="TXN-2025-094"/>
    <s v="2025-02-05"/>
    <x v="1"/>
    <x v="1"/>
    <s v="andi WIJAYA"/>
    <s v="Andi Wijaya"/>
    <x v="3"/>
    <s v="PROD004"/>
    <n v="2"/>
    <x v="1"/>
    <n v="950000"/>
    <n v="1900000"/>
    <n v="22000000"/>
  </r>
  <r>
    <s v="TXN-2025-095"/>
    <s v="2025-02-06"/>
    <x v="1"/>
    <x v="1"/>
    <s v="Bambang H."/>
    <s v="Bambang H."/>
    <x v="2"/>
    <s v="PROD006"/>
    <n v="1"/>
    <x v="0"/>
    <n v="280000"/>
    <n v="280000"/>
    <n v="16500000"/>
  </r>
  <r>
    <s v="TXN-2025-096"/>
    <s v="2025-02-06"/>
    <x v="1"/>
    <x v="1"/>
    <s v=" mega utami "/>
    <s v="Mega Utami"/>
    <x v="0"/>
    <s v="PROD009"/>
    <n v="4"/>
    <x v="1"/>
    <n v="650000"/>
    <n v="2600000"/>
    <n v="22000000"/>
  </r>
  <r>
    <s v="TXN-2025-097"/>
    <s v="2025-02-06"/>
    <x v="1"/>
    <x v="1"/>
    <s v="Bambang H."/>
    <s v="Bambang H."/>
    <x v="2"/>
    <s v="PROD005"/>
    <n v="5"/>
    <x v="0"/>
    <n v="250000"/>
    <n v="1250000"/>
    <n v="16500000"/>
  </r>
  <r>
    <s v="TXN-2025-098"/>
    <s v="2025-02-07"/>
    <x v="1"/>
    <x v="1"/>
    <s v="  siti RAHMA  "/>
    <s v="Siti Rahma"/>
    <x v="0"/>
    <s v="PROD002"/>
    <n v="2"/>
    <x v="2"/>
    <n v="4500000"/>
    <n v="9000000"/>
    <n v="55000000"/>
  </r>
  <r>
    <s v="TXN-2025-099"/>
    <s v="2025-02-07"/>
    <x v="1"/>
    <x v="1"/>
    <s v="  DEWI lestari  "/>
    <s v="Dewi Lestari"/>
    <x v="4"/>
    <s v="PROD007"/>
    <n v="2"/>
    <x v="2"/>
    <n v="1800000"/>
    <n v="3600000"/>
    <n v="55000000"/>
  </r>
  <r>
    <s v="TXN-2025-100"/>
    <s v="2025-02-08"/>
    <x v="1"/>
    <x v="1"/>
    <s v="  siti RAHMA  "/>
    <s v="Siti Rahma"/>
    <x v="2"/>
    <s v="PROD009"/>
    <n v="4"/>
    <x v="1"/>
    <n v="650000"/>
    <n v="2600000"/>
    <n v="22000000"/>
  </r>
  <r>
    <s v="TXN-2025-101"/>
    <s v="2025-02-08"/>
    <x v="1"/>
    <x v="1"/>
    <s v="andi WIJAYA"/>
    <s v="Andi Wijaya"/>
    <x v="0"/>
    <s v="PROD008"/>
    <n v="3"/>
    <x v="2"/>
    <n v="250000"/>
    <n v="750000"/>
    <n v="55000000"/>
  </r>
  <r>
    <s v="TXN-2025-102"/>
    <s v="2025-02-08"/>
    <x v="1"/>
    <x v="1"/>
    <s v="Ahmad Fauzi"/>
    <s v="Ahmad Fauzi"/>
    <x v="1"/>
    <s v="PROD009"/>
    <n v="1"/>
    <x v="1"/>
    <n v="650000"/>
    <n v="650000"/>
    <n v="22000000"/>
  </r>
  <r>
    <s v="TXN-2025-103"/>
    <s v="2025-02-08"/>
    <x v="1"/>
    <x v="1"/>
    <s v="Ahmad Fauzi"/>
    <s v="Ahmad Fauzi"/>
    <x v="3"/>
    <s v="PROD005"/>
    <n v="2"/>
    <x v="0"/>
    <n v="250000"/>
    <n v="500000"/>
    <n v="16500000"/>
  </r>
  <r>
    <s v="TXN-2025-104"/>
    <s v="2025-02-08"/>
    <x v="1"/>
    <x v="1"/>
    <s v="  DEWI lestari  "/>
    <s v="Dewi Lestari"/>
    <x v="4"/>
    <s v="PROD010"/>
    <n v="2"/>
    <x v="0"/>
    <n v="350000"/>
    <n v="700000"/>
    <n v="16500000"/>
  </r>
  <r>
    <s v="TXN-2025-105"/>
    <s v="2025-02-08"/>
    <x v="1"/>
    <x v="1"/>
    <s v="  Sari Yuliana  "/>
    <s v="Sari Yuliana"/>
    <x v="2"/>
    <s v="PROD010"/>
    <n v="2"/>
    <x v="0"/>
    <n v="350000"/>
    <n v="700000"/>
    <n v="16500000"/>
  </r>
  <r>
    <s v="TXN-2025-106"/>
    <s v="2025-02-08"/>
    <x v="1"/>
    <x v="1"/>
    <s v=" mega utami "/>
    <s v="Mega Utami"/>
    <x v="0"/>
    <s v="PROD002"/>
    <n v="3"/>
    <x v="2"/>
    <n v="4500000"/>
    <n v="13500000"/>
    <n v="55000000"/>
  </r>
  <r>
    <s v="TXN-2025-107"/>
    <s v="2025-02-09"/>
    <x v="1"/>
    <x v="1"/>
    <s v="  Sari Yuliana  "/>
    <s v="Sari Yuliana"/>
    <x v="1"/>
    <s v="PROD003"/>
    <n v="5"/>
    <x v="1"/>
    <n v="1200000"/>
    <n v="6000000"/>
    <n v="22000000"/>
  </r>
  <r>
    <s v="TXN-2025-108"/>
    <s v="2025-02-10"/>
    <x v="1"/>
    <x v="1"/>
    <s v=" mega utami "/>
    <s v="Mega Utami"/>
    <x v="0"/>
    <s v="PROD002"/>
    <n v="4"/>
    <x v="2"/>
    <n v="4500000"/>
    <n v="18000000"/>
    <n v="55000000"/>
  </r>
  <r>
    <s v="TXN-2025-109"/>
    <s v="2025-02-10"/>
    <x v="1"/>
    <x v="1"/>
    <s v="Eko Prasetyo"/>
    <s v="Eko Prasetyo"/>
    <x v="2"/>
    <s v="PROD007"/>
    <n v="2"/>
    <x v="2"/>
    <n v="1800000"/>
    <n v="3600000"/>
    <n v="55000000"/>
  </r>
  <r>
    <s v="TXN-2025-110"/>
    <s v="2025-02-10"/>
    <x v="1"/>
    <x v="1"/>
    <s v="andi WIJAYA"/>
    <s v="Andi Wijaya"/>
    <x v="0"/>
    <s v="PROD006"/>
    <n v="1"/>
    <x v="0"/>
    <n v="280000"/>
    <n v="280000"/>
    <n v="16500000"/>
  </r>
  <r>
    <s v="TXN-2025-111"/>
    <s v="2025-02-11"/>
    <x v="1"/>
    <x v="1"/>
    <s v="  siti RAHMA  "/>
    <s v="Siti Rahma"/>
    <x v="2"/>
    <s v="PROD006"/>
    <n v="10"/>
    <x v="0"/>
    <n v="280000"/>
    <n v="2800000"/>
    <n v="16500000"/>
  </r>
  <r>
    <s v="TXN-2025-112"/>
    <s v="2025-02-11"/>
    <x v="1"/>
    <x v="1"/>
    <s v="Ahmad Fauzi"/>
    <s v="Ahmad Fauzi"/>
    <x v="0"/>
    <s v="PROD009"/>
    <n v="3"/>
    <x v="1"/>
    <n v="650000"/>
    <n v="1950000"/>
    <n v="22000000"/>
  </r>
  <r>
    <s v="TXN-2025-113"/>
    <s v="2025-02-11"/>
    <x v="1"/>
    <x v="1"/>
    <s v="Bambang H."/>
    <s v="Bambang H."/>
    <x v="3"/>
    <s v="PROD006"/>
    <n v="1"/>
    <x v="0"/>
    <n v="280000"/>
    <n v="280000"/>
    <n v="16500000"/>
  </r>
  <r>
    <s v="TXN-2025-114"/>
    <s v="2025-02-12"/>
    <x v="1"/>
    <x v="1"/>
    <s v="RINA marlina"/>
    <s v="Rina Marlina"/>
    <x v="2"/>
    <s v="PROD003"/>
    <n v="4"/>
    <x v="1"/>
    <n v="1200000"/>
    <n v="4800000"/>
    <n v="22000000"/>
  </r>
  <r>
    <s v="TXN-2025-115"/>
    <s v="2025-02-12"/>
    <x v="1"/>
    <x v="1"/>
    <s v="  budi santoso  "/>
    <s v="Budi Santoso"/>
    <x v="2"/>
    <s v="PROD004"/>
    <n v="4"/>
    <x v="1"/>
    <n v="950000"/>
    <n v="3800000"/>
    <n v="22000000"/>
  </r>
  <r>
    <s v="TXN-2025-116"/>
    <s v="2025-02-13"/>
    <x v="1"/>
    <x v="1"/>
    <s v="RINA marlina"/>
    <s v="Rina Marlina"/>
    <x v="4"/>
    <s v="PROD010"/>
    <n v="2"/>
    <x v="0"/>
    <n v="350000"/>
    <n v="700000"/>
    <n v="16500000"/>
  </r>
  <r>
    <s v="TXN-2025-117"/>
    <s v="2025-02-13"/>
    <x v="1"/>
    <x v="1"/>
    <s v="  siti RAHMA  "/>
    <s v="Siti Rahma"/>
    <x v="3"/>
    <s v="PROD009"/>
    <n v="2"/>
    <x v="1"/>
    <n v="650000"/>
    <n v="1300000"/>
    <n v="22000000"/>
  </r>
  <r>
    <s v="TXN-2025-118"/>
    <s v="2025-02-13"/>
    <x v="1"/>
    <x v="1"/>
    <s v="  siti RAHMA  "/>
    <s v="Siti Rahma"/>
    <x v="2"/>
    <s v="PROD007"/>
    <n v="1"/>
    <x v="2"/>
    <n v="1800000"/>
    <n v="1800000"/>
    <n v="55000000"/>
  </r>
  <r>
    <s v="TXN-2025-119"/>
    <s v="2025-02-13"/>
    <x v="1"/>
    <x v="1"/>
    <s v=" mega utami "/>
    <s v="Mega Utami"/>
    <x v="1"/>
    <s v="PROD009"/>
    <n v="1"/>
    <x v="1"/>
    <n v="650000"/>
    <n v="650000"/>
    <n v="22000000"/>
  </r>
  <r>
    <s v="TXN-2025-120"/>
    <s v="2025-02-14"/>
    <x v="1"/>
    <x v="1"/>
    <s v="  Sari Yuliana  "/>
    <s v="Sari Yuliana"/>
    <x v="0"/>
    <s v="PROD001"/>
    <n v="1"/>
    <x v="2"/>
    <n v="7500000"/>
    <n v="7500000"/>
    <n v="55000000"/>
  </r>
  <r>
    <s v="TXN-2025-121"/>
    <s v="2025-02-15"/>
    <x v="1"/>
    <x v="1"/>
    <s v="RINA marlina"/>
    <s v="Rina Marlina"/>
    <x v="1"/>
    <s v="PROD001"/>
    <n v="3"/>
    <x v="2"/>
    <n v="7500000"/>
    <n v="22500000"/>
    <n v="55000000"/>
  </r>
  <r>
    <s v="TXN-2025-122"/>
    <s v="2025-02-15"/>
    <x v="1"/>
    <x v="1"/>
    <s v=" mega utami "/>
    <s v="Mega Utami"/>
    <x v="0"/>
    <s v="PROD001"/>
    <n v="1"/>
    <x v="2"/>
    <n v="7500000"/>
    <n v="7500000"/>
    <n v="55000000"/>
  </r>
  <r>
    <s v="TXN-2025-123"/>
    <s v="2025-02-15"/>
    <x v="1"/>
    <x v="1"/>
    <s v=" mega utami "/>
    <s v="Mega Utami"/>
    <x v="0"/>
    <s v="PROD003"/>
    <n v="1"/>
    <x v="1"/>
    <n v="1200000"/>
    <n v="1200000"/>
    <n v="22000000"/>
  </r>
  <r>
    <s v="TXN-2025-124"/>
    <s v="2025-02-16"/>
    <x v="1"/>
    <x v="1"/>
    <s v="  Sari Yuliana  "/>
    <s v="Sari Yuliana"/>
    <x v="4"/>
    <s v="PROD006"/>
    <n v="1"/>
    <x v="0"/>
    <n v="280000"/>
    <n v="280000"/>
    <n v="16500000"/>
  </r>
  <r>
    <s v="TXN-2025-125"/>
    <s v="2025-02-16"/>
    <x v="1"/>
    <x v="1"/>
    <s v="Bambang H."/>
    <s v="Bambang H."/>
    <x v="2"/>
    <s v="PROD008"/>
    <n v="2"/>
    <x v="2"/>
    <n v="250000"/>
    <n v="500000"/>
    <n v="55000000"/>
  </r>
  <r>
    <s v="TXN-2025-126"/>
    <s v="2025-02-16"/>
    <x v="1"/>
    <x v="1"/>
    <s v="Ahmad Fauzi"/>
    <s v="Ahmad Fauzi"/>
    <x v="0"/>
    <s v="PROD009"/>
    <n v="4"/>
    <x v="1"/>
    <n v="650000"/>
    <n v="2600000"/>
    <n v="22000000"/>
  </r>
  <r>
    <s v="TXN-2025-127"/>
    <s v="2025-02-16"/>
    <x v="1"/>
    <x v="1"/>
    <s v="  DEWI lestari  "/>
    <s v="Dewi Lestari"/>
    <x v="4"/>
    <s v="PROD008"/>
    <n v="1"/>
    <x v="2"/>
    <n v="250000"/>
    <n v="250000"/>
    <n v="55000000"/>
  </r>
  <r>
    <s v="TXN-2025-128"/>
    <s v="2025-02-16"/>
    <x v="1"/>
    <x v="1"/>
    <s v="Ahmad Fauzi"/>
    <s v="Ahmad Fauzi"/>
    <x v="1"/>
    <s v="PROD003"/>
    <n v="1"/>
    <x v="1"/>
    <n v="1200000"/>
    <n v="1200000"/>
    <n v="22000000"/>
  </r>
  <r>
    <s v="TXN-2025-129"/>
    <s v="2025-02-17"/>
    <x v="1"/>
    <x v="1"/>
    <s v="  budi santoso  "/>
    <s v="Budi Santoso"/>
    <x v="4"/>
    <s v="PROD010"/>
    <n v="3"/>
    <x v="0"/>
    <n v="350000"/>
    <n v="1050000"/>
    <n v="16500000"/>
  </r>
  <r>
    <s v="TXN-2025-130"/>
    <s v="2025-02-17"/>
    <x v="1"/>
    <x v="1"/>
    <s v="RINA marlina"/>
    <s v="Rina Marlina"/>
    <x v="1"/>
    <s v="PROD009"/>
    <n v="2"/>
    <x v="1"/>
    <n v="650000"/>
    <n v="1300000"/>
    <n v="22000000"/>
  </r>
  <r>
    <s v="TXN-2025-131"/>
    <s v="2025-02-17"/>
    <x v="1"/>
    <x v="1"/>
    <s v="Ahmad Fauzi"/>
    <s v="Ahmad Fauzi"/>
    <x v="2"/>
    <s v="PROD003"/>
    <n v="1"/>
    <x v="1"/>
    <n v="1200000"/>
    <n v="1200000"/>
    <n v="22000000"/>
  </r>
  <r>
    <s v="TXN-2025-132"/>
    <s v="2025-02-18"/>
    <x v="1"/>
    <x v="1"/>
    <s v="  DEWI lestari  "/>
    <s v="Dewi Lestari"/>
    <x v="0"/>
    <s v="PROD006"/>
    <n v="2"/>
    <x v="0"/>
    <n v="280000"/>
    <n v="560000"/>
    <n v="16500000"/>
  </r>
  <r>
    <s v="TXN-2025-133"/>
    <s v="2025-02-18"/>
    <x v="1"/>
    <x v="1"/>
    <s v="Eko Prasetyo"/>
    <s v="Eko Prasetyo"/>
    <x v="3"/>
    <s v="PROD010"/>
    <n v="1"/>
    <x v="0"/>
    <n v="350000"/>
    <n v="350000"/>
    <n v="16500000"/>
  </r>
  <r>
    <s v="TXN-2025-134"/>
    <s v="2025-02-19"/>
    <x v="1"/>
    <x v="1"/>
    <s v="RINA marlina"/>
    <s v="Rina Marlina"/>
    <x v="1"/>
    <s v="PROD006"/>
    <n v="1"/>
    <x v="0"/>
    <n v="280000"/>
    <n v="280000"/>
    <n v="16500000"/>
  </r>
  <r>
    <s v="TXN-2025-135"/>
    <s v="2025-02-20"/>
    <x v="1"/>
    <x v="1"/>
    <s v="  DEWI lestari  "/>
    <s v="Dewi Lestari"/>
    <x v="0"/>
    <s v="PROD003"/>
    <n v="2"/>
    <x v="1"/>
    <n v="1200000"/>
    <n v="2400000"/>
    <n v="22000000"/>
  </r>
  <r>
    <s v="TXN-2025-136"/>
    <s v="2025-02-20"/>
    <x v="1"/>
    <x v="1"/>
    <s v=" mega utami "/>
    <s v="Mega Utami"/>
    <x v="3"/>
    <s v="PROD007"/>
    <n v="2"/>
    <x v="2"/>
    <n v="1800000"/>
    <n v="3600000"/>
    <n v="55000000"/>
  </r>
  <r>
    <s v="TXN-2025-137"/>
    <s v="2025-02-20"/>
    <x v="1"/>
    <x v="1"/>
    <s v="  siti RAHMA  "/>
    <s v="Siti Rahma"/>
    <x v="3"/>
    <s v="PROD010"/>
    <n v="4"/>
    <x v="0"/>
    <n v="350000"/>
    <n v="1400000"/>
    <n v="16500000"/>
  </r>
  <r>
    <s v="TXN-2025-138"/>
    <s v="2025-02-20"/>
    <x v="1"/>
    <x v="1"/>
    <s v="Bambang H."/>
    <s v="Bambang H."/>
    <x v="1"/>
    <s v="PROD005"/>
    <n v="1"/>
    <x v="0"/>
    <n v="250000"/>
    <n v="250000"/>
    <n v="16500000"/>
  </r>
  <r>
    <s v="TXN-2025-139"/>
    <s v="2025-02-20"/>
    <x v="1"/>
    <x v="1"/>
    <s v="  budi santoso  "/>
    <s v="Budi Santoso"/>
    <x v="0"/>
    <s v="PROD010"/>
    <n v="2"/>
    <x v="0"/>
    <n v="350000"/>
    <n v="700000"/>
    <n v="16500000"/>
  </r>
  <r>
    <s v="TXN-2025-140"/>
    <s v="2025-02-20"/>
    <x v="1"/>
    <x v="1"/>
    <s v="  DEWI lestari  "/>
    <s v="Dewi Lestari"/>
    <x v="3"/>
    <s v="PROD006"/>
    <n v="2"/>
    <x v="0"/>
    <n v="280000"/>
    <n v="560000"/>
    <n v="16500000"/>
  </r>
  <r>
    <s v="TXN-2025-141"/>
    <s v="2025-02-21"/>
    <x v="1"/>
    <x v="1"/>
    <s v="Ahmad Fauzi"/>
    <s v="Ahmad Fauzi"/>
    <x v="4"/>
    <s v="PROD009"/>
    <n v="1"/>
    <x v="1"/>
    <n v="650000"/>
    <n v="650000"/>
    <n v="22000000"/>
  </r>
  <r>
    <s v="TXN-2025-142"/>
    <s v="2025-02-21"/>
    <x v="1"/>
    <x v="1"/>
    <s v="  siti RAHMA  "/>
    <s v="Siti Rahma"/>
    <x v="4"/>
    <s v="PROD009"/>
    <n v="2"/>
    <x v="1"/>
    <n v="650000"/>
    <n v="1300000"/>
    <n v="22000000"/>
  </r>
  <r>
    <s v="TXN-2025-143"/>
    <s v="2025-02-21"/>
    <x v="1"/>
    <x v="1"/>
    <s v="Ahmad Fauzi"/>
    <s v="Ahmad Fauzi"/>
    <x v="0"/>
    <s v="PROD009"/>
    <n v="1"/>
    <x v="1"/>
    <n v="650000"/>
    <n v="650000"/>
    <n v="22000000"/>
  </r>
  <r>
    <s v="TXN-2025-144"/>
    <s v="2025-02-22"/>
    <x v="1"/>
    <x v="1"/>
    <s v="RINA marlina"/>
    <s v="Rina Marlina"/>
    <x v="2"/>
    <s v="PROD008"/>
    <n v="5"/>
    <x v="2"/>
    <n v="250000"/>
    <n v="1250000"/>
    <n v="55000000"/>
  </r>
  <r>
    <s v="TXN-2025-145"/>
    <s v="2025-02-22"/>
    <x v="1"/>
    <x v="1"/>
    <s v="  DEWI lestari  "/>
    <s v="Dewi Lestari"/>
    <x v="4"/>
    <s v="PROD010"/>
    <n v="1"/>
    <x v="0"/>
    <n v="350000"/>
    <n v="350000"/>
    <n v="16500000"/>
  </r>
  <r>
    <s v="TXN-2025-146"/>
    <s v="2025-02-22"/>
    <x v="1"/>
    <x v="1"/>
    <s v="Ahmad Fauzi"/>
    <s v="Ahmad Fauzi"/>
    <x v="1"/>
    <s v="PROD005"/>
    <n v="2"/>
    <x v="0"/>
    <n v="250000"/>
    <n v="500000"/>
    <n v="16500000"/>
  </r>
  <r>
    <s v="TXN-2025-147"/>
    <s v="2025-02-22"/>
    <x v="1"/>
    <x v="1"/>
    <s v="  Sari Yuliana  "/>
    <s v="Sari Yuliana"/>
    <x v="0"/>
    <s v="PROD008"/>
    <n v="1"/>
    <x v="2"/>
    <n v="250000"/>
    <n v="250000"/>
    <n v="55000000"/>
  </r>
  <r>
    <s v="TXN-2025-148"/>
    <s v="2025-02-22"/>
    <x v="1"/>
    <x v="1"/>
    <s v="andi WIJAYA"/>
    <s v="Andi Wijaya"/>
    <x v="3"/>
    <s v="PROD001"/>
    <n v="10"/>
    <x v="2"/>
    <n v="7500000"/>
    <n v="75000000"/>
    <n v="55000000"/>
  </r>
  <r>
    <s v="TXN-2025-149"/>
    <s v="2025-02-22"/>
    <x v="1"/>
    <x v="1"/>
    <s v="  siti RAHMA  "/>
    <s v="Siti Rahma"/>
    <x v="4"/>
    <s v="PROD006"/>
    <n v="2"/>
    <x v="0"/>
    <n v="280000"/>
    <n v="560000"/>
    <n v="16500000"/>
  </r>
  <r>
    <s v="TXN-2025-150"/>
    <s v="2025-02-22"/>
    <x v="1"/>
    <x v="1"/>
    <s v="Eko Prasetyo"/>
    <s v="Eko Prasetyo"/>
    <x v="0"/>
    <s v="PROD006"/>
    <n v="2"/>
    <x v="0"/>
    <n v="280000"/>
    <n v="560000"/>
    <n v="16500000"/>
  </r>
  <r>
    <s v="TXN-2025-151"/>
    <s v="2025-02-23"/>
    <x v="1"/>
    <x v="1"/>
    <s v="  siti RAHMA  "/>
    <s v="Siti Rahma"/>
    <x v="0"/>
    <s v="PROD002"/>
    <n v="1"/>
    <x v="2"/>
    <n v="4500000"/>
    <n v="4500000"/>
    <n v="55000000"/>
  </r>
  <r>
    <s v="TXN-2025-152"/>
    <s v="2025-02-23"/>
    <x v="1"/>
    <x v="1"/>
    <s v="Ahmad Fauzi"/>
    <s v="Ahmad Fauzi"/>
    <x v="2"/>
    <s v="PROD007"/>
    <n v="3"/>
    <x v="2"/>
    <n v="1800000"/>
    <n v="5400000"/>
    <n v="55000000"/>
  </r>
  <r>
    <s v="TXN-2025-153"/>
    <s v="2025-02-23"/>
    <x v="1"/>
    <x v="1"/>
    <s v="Ahmad Fauzi"/>
    <s v="Ahmad Fauzi"/>
    <x v="3"/>
    <s v="PROD010"/>
    <n v="1"/>
    <x v="0"/>
    <n v="350000"/>
    <n v="350000"/>
    <n v="16500000"/>
  </r>
  <r>
    <s v="TXN-2025-154"/>
    <s v="2025-02-23"/>
    <x v="1"/>
    <x v="1"/>
    <s v="  budi santoso  "/>
    <s v="Budi Santoso"/>
    <x v="3"/>
    <s v="PROD005"/>
    <n v="4"/>
    <x v="0"/>
    <n v="250000"/>
    <n v="1000000"/>
    <n v="16500000"/>
  </r>
  <r>
    <s v="TXN-2025-155"/>
    <s v="2025-02-23"/>
    <x v="1"/>
    <x v="1"/>
    <s v="  Sari Yuliana  "/>
    <s v="Sari Yuliana"/>
    <x v="3"/>
    <s v="PROD001"/>
    <n v="1"/>
    <x v="2"/>
    <n v="7500000"/>
    <n v="7500000"/>
    <n v="55000000"/>
  </r>
  <r>
    <s v="TXN-2025-156"/>
    <s v="2025-02-23"/>
    <x v="1"/>
    <x v="1"/>
    <s v="Eko Prasetyo"/>
    <s v="Eko Prasetyo"/>
    <x v="1"/>
    <s v="PROD010"/>
    <n v="1"/>
    <x v="0"/>
    <n v="350000"/>
    <n v="350000"/>
    <n v="16500000"/>
  </r>
  <r>
    <s v="TXN-2025-157"/>
    <s v="2025-02-23"/>
    <x v="1"/>
    <x v="1"/>
    <s v="Bambang H."/>
    <s v="Bambang H."/>
    <x v="0"/>
    <s v="PROD008"/>
    <n v="1"/>
    <x v="2"/>
    <n v="250000"/>
    <n v="250000"/>
    <n v="55000000"/>
  </r>
  <r>
    <s v="TXN-2025-158"/>
    <s v="2025-02-24"/>
    <x v="1"/>
    <x v="1"/>
    <s v="  budi santoso  "/>
    <s v="Budi Santoso"/>
    <x v="1"/>
    <s v="PROD005"/>
    <n v="2"/>
    <x v="0"/>
    <n v="250000"/>
    <n v="500000"/>
    <n v="16500000"/>
  </r>
  <r>
    <s v="TXN-2025-159"/>
    <s v="2025-02-25"/>
    <x v="1"/>
    <x v="1"/>
    <s v="RINA marlina"/>
    <s v="Rina Marlina"/>
    <x v="1"/>
    <s v="PROD010"/>
    <n v="2"/>
    <x v="0"/>
    <n v="350000"/>
    <n v="700000"/>
    <n v="16500000"/>
  </r>
  <r>
    <s v="TXN-2025-160"/>
    <s v="2025-02-25"/>
    <x v="1"/>
    <x v="1"/>
    <s v="Eko Prasetyo"/>
    <s v="Eko Prasetyo"/>
    <x v="0"/>
    <s v="PROD010"/>
    <n v="1"/>
    <x v="0"/>
    <n v="350000"/>
    <n v="350000"/>
    <n v="16500000"/>
  </r>
  <r>
    <s v="TXN-2025-161"/>
    <s v="2025-02-26"/>
    <x v="1"/>
    <x v="1"/>
    <s v="  DEWI lestari  "/>
    <s v="Dewi Lestari"/>
    <x v="3"/>
    <s v="PROD004"/>
    <n v="3"/>
    <x v="1"/>
    <n v="950000"/>
    <n v="2850000"/>
    <n v="22000000"/>
  </r>
  <r>
    <s v="TXN-2025-162"/>
    <s v="2025-02-27"/>
    <x v="1"/>
    <x v="1"/>
    <s v="andi WIJAYA"/>
    <s v="Andi Wijaya"/>
    <x v="0"/>
    <s v="PROD001"/>
    <n v="2"/>
    <x v="2"/>
    <n v="7500000"/>
    <n v="15000000"/>
    <n v="55000000"/>
  </r>
  <r>
    <s v="TXN-2025-163"/>
    <s v="2025-02-27"/>
    <x v="1"/>
    <x v="1"/>
    <s v="  budi santoso  "/>
    <s v="Budi Santoso"/>
    <x v="2"/>
    <s v="PROD010"/>
    <n v="2"/>
    <x v="0"/>
    <n v="350000"/>
    <n v="700000"/>
    <n v="16500000"/>
  </r>
  <r>
    <s v="TXN-2025-164"/>
    <s v="2025-02-27"/>
    <x v="1"/>
    <x v="1"/>
    <s v="andi WIJAYA"/>
    <s v="Andi Wijaya"/>
    <x v="0"/>
    <s v="PROD008"/>
    <n v="2"/>
    <x v="2"/>
    <n v="250000"/>
    <n v="500000"/>
    <n v="55000000"/>
  </r>
  <r>
    <s v="TXN-2025-165"/>
    <s v="2025-02-27"/>
    <x v="1"/>
    <x v="1"/>
    <s v="  Sari Yuliana  "/>
    <s v="Sari Yuliana"/>
    <x v="0"/>
    <s v="PROD003"/>
    <n v="2"/>
    <x v="1"/>
    <n v="1200000"/>
    <n v="2400000"/>
    <n v="22000000"/>
  </r>
  <r>
    <s v="TXN-2025-166"/>
    <s v="2025-02-27"/>
    <x v="1"/>
    <x v="1"/>
    <s v="RINA marlina"/>
    <s v="Rina Marlina"/>
    <x v="4"/>
    <s v="PROD009"/>
    <n v="2"/>
    <x v="1"/>
    <n v="650000"/>
    <n v="1300000"/>
    <n v="22000000"/>
  </r>
  <r>
    <s v="TXN-2025-167"/>
    <s v="2025-02-27"/>
    <x v="1"/>
    <x v="1"/>
    <s v="RINA marlina"/>
    <s v="Rina Marlina"/>
    <x v="2"/>
    <s v="PROD010"/>
    <n v="1"/>
    <x v="0"/>
    <n v="350000"/>
    <n v="350000"/>
    <n v="16500000"/>
  </r>
  <r>
    <s v="TXN-2025-168"/>
    <s v="2025-02-28"/>
    <x v="1"/>
    <x v="1"/>
    <s v="Bambang H."/>
    <s v="Bambang H."/>
    <x v="4"/>
    <s v="PROD007"/>
    <n v="1"/>
    <x v="2"/>
    <n v="1800000"/>
    <n v="1800000"/>
    <n v="55000000"/>
  </r>
  <r>
    <s v="TXN-2025-169"/>
    <s v="2025-03-01"/>
    <x v="2"/>
    <x v="2"/>
    <s v="RINA marlina"/>
    <s v="Rina Marlina"/>
    <x v="3"/>
    <s v="PROD003"/>
    <n v="4"/>
    <x v="1"/>
    <n v="1200000"/>
    <n v="4800000"/>
    <n v="24000000"/>
  </r>
  <r>
    <s v="TXN-2025-170"/>
    <s v="2025-03-01"/>
    <x v="2"/>
    <x v="2"/>
    <s v="Ahmad Fauzi"/>
    <s v="Ahmad Fauzi"/>
    <x v="3"/>
    <s v="PROD004"/>
    <n v="5"/>
    <x v="1"/>
    <n v="950000"/>
    <n v="4750000"/>
    <n v="24000000"/>
  </r>
  <r>
    <s v="TXN-2025-171"/>
    <s v="2025-03-02"/>
    <x v="2"/>
    <x v="2"/>
    <s v="  siti RAHMA  "/>
    <s v="Siti Rahma"/>
    <x v="2"/>
    <s v="PROD001"/>
    <n v="1"/>
    <x v="2"/>
    <n v="7500000"/>
    <n v="7500000"/>
    <n v="60000000"/>
  </r>
  <r>
    <s v="TXN-2025-172"/>
    <s v="2025-03-02"/>
    <x v="2"/>
    <x v="2"/>
    <s v="  siti RAHMA  "/>
    <s v="Siti Rahma"/>
    <x v="1"/>
    <s v="PROD010"/>
    <n v="1"/>
    <x v="0"/>
    <n v="350000"/>
    <n v="350000"/>
    <n v="18000000"/>
  </r>
  <r>
    <s v="TXN-2025-173"/>
    <s v="2025-03-03"/>
    <x v="2"/>
    <x v="2"/>
    <s v="Bambang H."/>
    <s v="Bambang H."/>
    <x v="0"/>
    <s v="PROD002"/>
    <n v="2"/>
    <x v="2"/>
    <n v="4500000"/>
    <n v="9000000"/>
    <n v="60000000"/>
  </r>
  <r>
    <s v="TXN-2025-174"/>
    <s v="2025-03-03"/>
    <x v="2"/>
    <x v="2"/>
    <s v="Ahmad Fauzi"/>
    <s v="Ahmad Fauzi"/>
    <x v="4"/>
    <s v="PROD004"/>
    <n v="2"/>
    <x v="1"/>
    <n v="950000"/>
    <n v="1900000"/>
    <n v="24000000"/>
  </r>
  <r>
    <s v="TXN-2025-175"/>
    <s v="2025-03-03"/>
    <x v="2"/>
    <x v="2"/>
    <s v="  siti RAHMA  "/>
    <s v="Siti Rahma"/>
    <x v="2"/>
    <s v="PROD001"/>
    <n v="1"/>
    <x v="2"/>
    <n v="7500000"/>
    <n v="7500000"/>
    <n v="60000000"/>
  </r>
  <r>
    <s v="TXN-2025-176"/>
    <s v="2025-03-03"/>
    <x v="2"/>
    <x v="2"/>
    <s v="  DEWI lestari  "/>
    <s v="Dewi Lestari"/>
    <x v="4"/>
    <s v="PROD008"/>
    <n v="1"/>
    <x v="2"/>
    <n v="250000"/>
    <n v="250000"/>
    <n v="60000000"/>
  </r>
  <r>
    <s v="TXN-2025-177"/>
    <s v="2025-03-04"/>
    <x v="2"/>
    <x v="2"/>
    <s v="Ahmad Fauzi"/>
    <s v="Ahmad Fauzi"/>
    <x v="0"/>
    <s v="PROD006"/>
    <n v="3"/>
    <x v="0"/>
    <n v="280000"/>
    <n v="840000"/>
    <n v="18000000"/>
  </r>
  <r>
    <s v="TXN-2025-178"/>
    <s v="2025-03-04"/>
    <x v="2"/>
    <x v="2"/>
    <s v="  Sari Yuliana  "/>
    <s v="Sari Yuliana"/>
    <x v="1"/>
    <s v="PROD007"/>
    <n v="2"/>
    <x v="2"/>
    <n v="1800000"/>
    <n v="3600000"/>
    <n v="60000000"/>
  </r>
  <r>
    <s v="TXN-2025-179"/>
    <s v="2025-03-04"/>
    <x v="2"/>
    <x v="2"/>
    <s v=" mega utami "/>
    <s v="Mega Utami"/>
    <x v="4"/>
    <s v="PROD003"/>
    <n v="1"/>
    <x v="1"/>
    <n v="1200000"/>
    <n v="1200000"/>
    <n v="24000000"/>
  </r>
  <r>
    <s v="TXN-2025-180"/>
    <s v="2025-03-04"/>
    <x v="2"/>
    <x v="2"/>
    <s v="andi WIJAYA"/>
    <s v="Andi Wijaya"/>
    <x v="2"/>
    <s v="PROD007"/>
    <n v="1"/>
    <x v="2"/>
    <n v="1800000"/>
    <n v="1800000"/>
    <n v="60000000"/>
  </r>
  <r>
    <s v="TXN-2025-181"/>
    <s v="2025-03-06"/>
    <x v="2"/>
    <x v="2"/>
    <s v="Ahmad Fauzi"/>
    <s v="Ahmad Fauzi"/>
    <x v="0"/>
    <s v="PROD004"/>
    <n v="1"/>
    <x v="1"/>
    <n v="950000"/>
    <n v="950000"/>
    <n v="24000000"/>
  </r>
  <r>
    <s v="TXN-2025-182"/>
    <s v="2025-03-06"/>
    <x v="2"/>
    <x v="2"/>
    <s v="andi WIJAYA"/>
    <s v="Andi Wijaya"/>
    <x v="0"/>
    <s v="PROD007"/>
    <n v="2"/>
    <x v="2"/>
    <n v="1800000"/>
    <n v="3600000"/>
    <n v="60000000"/>
  </r>
  <r>
    <s v="TXN-2025-183"/>
    <s v="2025-03-06"/>
    <x v="2"/>
    <x v="2"/>
    <s v="  DEWI lestari  "/>
    <s v="Dewi Lestari"/>
    <x v="1"/>
    <s v="PROD009"/>
    <n v="1"/>
    <x v="1"/>
    <n v="650000"/>
    <n v="650000"/>
    <n v="24000000"/>
  </r>
  <r>
    <s v="TXN-2025-184"/>
    <s v="2025-03-07"/>
    <x v="2"/>
    <x v="2"/>
    <s v=" mega utami "/>
    <s v="Mega Utami"/>
    <x v="2"/>
    <s v="PROD010"/>
    <n v="1"/>
    <x v="0"/>
    <n v="350000"/>
    <n v="350000"/>
    <n v="18000000"/>
  </r>
  <r>
    <s v="TXN-2025-185"/>
    <s v="2025-03-07"/>
    <x v="2"/>
    <x v="2"/>
    <s v="Eko Prasetyo"/>
    <s v="Eko Prasetyo"/>
    <x v="0"/>
    <s v="PROD008"/>
    <n v="3"/>
    <x v="2"/>
    <n v="250000"/>
    <n v="750000"/>
    <n v="60000000"/>
  </r>
  <r>
    <s v="TXN-2025-186"/>
    <s v="2025-03-08"/>
    <x v="2"/>
    <x v="2"/>
    <s v="Bambang H."/>
    <s v="Bambang H."/>
    <x v="4"/>
    <s v="PROD001"/>
    <n v="1"/>
    <x v="2"/>
    <n v="7500000"/>
    <n v="7500000"/>
    <n v="60000000"/>
  </r>
  <r>
    <s v="TXN-2025-187"/>
    <s v="2025-03-09"/>
    <x v="2"/>
    <x v="2"/>
    <s v="Ahmad Fauzi"/>
    <s v="Ahmad Fauzi"/>
    <x v="3"/>
    <s v="PROD003"/>
    <n v="2"/>
    <x v="1"/>
    <n v="1200000"/>
    <n v="2400000"/>
    <n v="24000000"/>
  </r>
  <r>
    <s v="TXN-2025-188"/>
    <s v="2025-03-09"/>
    <x v="2"/>
    <x v="2"/>
    <s v="Bambang H."/>
    <s v="Bambang H."/>
    <x v="2"/>
    <s v="PROD009"/>
    <n v="1"/>
    <x v="1"/>
    <n v="650000"/>
    <n v="650000"/>
    <n v="24000000"/>
  </r>
  <r>
    <s v="TXN-2025-189"/>
    <s v="2025-03-10"/>
    <x v="2"/>
    <x v="2"/>
    <s v="RINA marlina"/>
    <s v="Rina Marlina"/>
    <x v="4"/>
    <s v="PROD004"/>
    <n v="1"/>
    <x v="1"/>
    <n v="950000"/>
    <n v="950000"/>
    <n v="24000000"/>
  </r>
  <r>
    <s v="TXN-2025-190"/>
    <s v="2025-03-10"/>
    <x v="2"/>
    <x v="2"/>
    <s v="andi WIJAYA"/>
    <s v="Andi Wijaya"/>
    <x v="1"/>
    <s v="PROD009"/>
    <n v="1"/>
    <x v="1"/>
    <n v="650000"/>
    <n v="650000"/>
    <n v="24000000"/>
  </r>
  <r>
    <s v="TXN-2025-191"/>
    <s v="2025-03-10"/>
    <x v="2"/>
    <x v="2"/>
    <s v="andi WIJAYA"/>
    <s v="Andi Wijaya"/>
    <x v="1"/>
    <s v="PROD006"/>
    <n v="3"/>
    <x v="0"/>
    <n v="280000"/>
    <n v="840000"/>
    <n v="18000000"/>
  </r>
  <r>
    <s v="TXN-2025-192"/>
    <s v="2025-03-10"/>
    <x v="2"/>
    <x v="2"/>
    <s v="RINA marlina"/>
    <s v="Rina Marlina"/>
    <x v="0"/>
    <s v="PROD008"/>
    <n v="4"/>
    <x v="2"/>
    <n v="250000"/>
    <n v="1000000"/>
    <n v="60000000"/>
  </r>
  <r>
    <s v="TXN-2025-193"/>
    <s v="2025-03-11"/>
    <x v="2"/>
    <x v="2"/>
    <s v="Eko Prasetyo"/>
    <s v="Eko Prasetyo"/>
    <x v="1"/>
    <s v="PROD009"/>
    <n v="3"/>
    <x v="1"/>
    <n v="650000"/>
    <n v="1950000"/>
    <n v="24000000"/>
  </r>
  <r>
    <s v="TXN-2025-194"/>
    <s v="2025-03-11"/>
    <x v="2"/>
    <x v="2"/>
    <s v="  budi santoso  "/>
    <s v="Budi Santoso"/>
    <x v="3"/>
    <s v="PROD007"/>
    <n v="1"/>
    <x v="2"/>
    <n v="1800000"/>
    <n v="1800000"/>
    <n v="60000000"/>
  </r>
  <r>
    <s v="TXN-2025-195"/>
    <s v="2025-03-13"/>
    <x v="2"/>
    <x v="2"/>
    <s v="  Sari Yuliana  "/>
    <s v="Sari Yuliana"/>
    <x v="4"/>
    <s v="PROD006"/>
    <n v="2"/>
    <x v="0"/>
    <n v="280000"/>
    <n v="560000"/>
    <n v="18000000"/>
  </r>
  <r>
    <s v="TXN-2025-196"/>
    <s v="2025-03-13"/>
    <x v="2"/>
    <x v="2"/>
    <s v="Ahmad Fauzi"/>
    <s v="Ahmad Fauzi"/>
    <x v="2"/>
    <s v="PROD003"/>
    <n v="1"/>
    <x v="1"/>
    <n v="1200000"/>
    <n v="1200000"/>
    <n v="24000000"/>
  </r>
  <r>
    <s v="TXN-2025-197"/>
    <s v="2025-03-14"/>
    <x v="2"/>
    <x v="2"/>
    <s v="andi WIJAYA"/>
    <s v="Andi Wijaya"/>
    <x v="0"/>
    <s v="PROD008"/>
    <n v="1"/>
    <x v="2"/>
    <n v="250000"/>
    <n v="250000"/>
    <n v="60000000"/>
  </r>
  <r>
    <s v="TXN-2025-198"/>
    <s v="2025-03-15"/>
    <x v="2"/>
    <x v="2"/>
    <s v="  Sari Yuliana  "/>
    <s v="Sari Yuliana"/>
    <x v="2"/>
    <s v="PROD009"/>
    <n v="4"/>
    <x v="1"/>
    <n v="650000"/>
    <n v="2600000"/>
    <n v="24000000"/>
  </r>
  <r>
    <s v="TXN-2025-199"/>
    <s v="2025-03-16"/>
    <x v="2"/>
    <x v="2"/>
    <s v="andi WIJAYA"/>
    <s v="Andi Wijaya"/>
    <x v="4"/>
    <s v="PROD006"/>
    <n v="1"/>
    <x v="0"/>
    <n v="280000"/>
    <n v="280000"/>
    <n v="18000000"/>
  </r>
  <r>
    <s v="TXN-2025-200"/>
    <s v="2025-03-16"/>
    <x v="2"/>
    <x v="2"/>
    <s v="  budi santoso  "/>
    <s v="Budi Santoso"/>
    <x v="3"/>
    <s v="PROD009"/>
    <n v="1"/>
    <x v="1"/>
    <n v="650000"/>
    <n v="650000"/>
    <n v="24000000"/>
  </r>
  <r>
    <s v="TXN-2025-201"/>
    <s v="2025-03-16"/>
    <x v="2"/>
    <x v="2"/>
    <s v="RINA marlina"/>
    <s v="Rina Marlina"/>
    <x v="4"/>
    <s v="PROD006"/>
    <n v="1"/>
    <x v="0"/>
    <n v="280000"/>
    <n v="280000"/>
    <n v="18000000"/>
  </r>
  <r>
    <s v="TXN-2025-202"/>
    <s v="2025-03-16"/>
    <x v="2"/>
    <x v="2"/>
    <s v="  budi santoso  "/>
    <s v="Budi Santoso"/>
    <x v="4"/>
    <s v="PROD005"/>
    <n v="1"/>
    <x v="0"/>
    <n v="250000"/>
    <n v="250000"/>
    <n v="18000000"/>
  </r>
  <r>
    <s v="TXN-2025-203"/>
    <s v="2025-03-17"/>
    <x v="2"/>
    <x v="2"/>
    <s v="andi WIJAYA"/>
    <s v="Andi Wijaya"/>
    <x v="0"/>
    <s v="PROD010"/>
    <n v="1"/>
    <x v="0"/>
    <n v="350000"/>
    <n v="350000"/>
    <n v="18000000"/>
  </r>
  <r>
    <s v="TXN-2025-204"/>
    <s v="2025-03-17"/>
    <x v="2"/>
    <x v="2"/>
    <s v="RINA marlina"/>
    <s v="Rina Marlina"/>
    <x v="2"/>
    <s v="PROD008"/>
    <n v="2"/>
    <x v="2"/>
    <n v="250000"/>
    <n v="500000"/>
    <n v="60000000"/>
  </r>
  <r>
    <s v="TXN-2025-205"/>
    <s v="2025-03-17"/>
    <x v="2"/>
    <x v="2"/>
    <s v="  budi santoso  "/>
    <s v="Budi Santoso"/>
    <x v="4"/>
    <s v="PROD004"/>
    <n v="2"/>
    <x v="1"/>
    <n v="950000"/>
    <n v="1900000"/>
    <n v="24000000"/>
  </r>
  <r>
    <s v="TXN-2025-206"/>
    <s v="2025-03-19"/>
    <x v="2"/>
    <x v="2"/>
    <s v="Eko Prasetyo"/>
    <s v="Eko Prasetyo"/>
    <x v="4"/>
    <s v="PROD004"/>
    <n v="4"/>
    <x v="1"/>
    <n v="950000"/>
    <n v="3800000"/>
    <n v="24000000"/>
  </r>
  <r>
    <s v="TXN-2025-207"/>
    <s v="2025-03-19"/>
    <x v="2"/>
    <x v="2"/>
    <s v="RINA marlina"/>
    <s v="Rina Marlina"/>
    <x v="3"/>
    <s v="PROD005"/>
    <n v="3"/>
    <x v="0"/>
    <n v="250000"/>
    <n v="750000"/>
    <n v="18000000"/>
  </r>
  <r>
    <s v="TXN-2025-208"/>
    <s v="2025-03-19"/>
    <x v="2"/>
    <x v="2"/>
    <s v="Ahmad Fauzi"/>
    <s v="Ahmad Fauzi"/>
    <x v="1"/>
    <s v="PROD009"/>
    <n v="1"/>
    <x v="1"/>
    <n v="650000"/>
    <n v="650000"/>
    <n v="24000000"/>
  </r>
  <r>
    <s v="TXN-2025-209"/>
    <s v="2025-03-21"/>
    <x v="2"/>
    <x v="2"/>
    <s v="andi WIJAYA"/>
    <s v="Andi Wijaya"/>
    <x v="3"/>
    <s v="PROD005"/>
    <n v="1"/>
    <x v="0"/>
    <n v="250000"/>
    <n v="250000"/>
    <n v="18000000"/>
  </r>
  <r>
    <s v="TXN-2025-210"/>
    <s v="2025-03-22"/>
    <x v="2"/>
    <x v="2"/>
    <s v="  DEWI lestari  "/>
    <s v="Dewi Lestari"/>
    <x v="2"/>
    <s v="PROD004"/>
    <n v="1"/>
    <x v="1"/>
    <n v="950000"/>
    <n v="950000"/>
    <n v="24000000"/>
  </r>
  <r>
    <s v="TXN-2025-211"/>
    <s v="2025-03-22"/>
    <x v="2"/>
    <x v="2"/>
    <s v="Bambang H."/>
    <s v="Bambang H."/>
    <x v="2"/>
    <s v="PROD005"/>
    <n v="2"/>
    <x v="0"/>
    <n v="250000"/>
    <n v="500000"/>
    <n v="18000000"/>
  </r>
  <r>
    <s v="TXN-2025-212"/>
    <s v="2025-03-22"/>
    <x v="2"/>
    <x v="2"/>
    <s v="andi WIJAYA"/>
    <s v="Andi Wijaya"/>
    <x v="0"/>
    <s v="PROD005"/>
    <n v="1"/>
    <x v="0"/>
    <n v="250000"/>
    <n v="250000"/>
    <n v="18000000"/>
  </r>
  <r>
    <s v="TXN-2025-213"/>
    <s v="2025-03-22"/>
    <x v="2"/>
    <x v="2"/>
    <s v="Ahmad Fauzi"/>
    <s v="Ahmad Fauzi"/>
    <x v="1"/>
    <s v="PROD004"/>
    <n v="2"/>
    <x v="1"/>
    <n v="950000"/>
    <n v="1900000"/>
    <n v="24000000"/>
  </r>
  <r>
    <s v="TXN-2025-214"/>
    <s v="2025-03-23"/>
    <x v="2"/>
    <x v="2"/>
    <s v="  siti RAHMA  "/>
    <s v="Siti Rahma"/>
    <x v="2"/>
    <s v="PROD008"/>
    <n v="2"/>
    <x v="2"/>
    <n v="250000"/>
    <n v="500000"/>
    <n v="60000000"/>
  </r>
  <r>
    <s v="TXN-2025-215"/>
    <s v="2025-03-24"/>
    <x v="2"/>
    <x v="2"/>
    <s v="  Sari Yuliana  "/>
    <s v="Sari Yuliana"/>
    <x v="1"/>
    <s v="PROD006"/>
    <n v="2"/>
    <x v="0"/>
    <n v="280000"/>
    <n v="560000"/>
    <n v="18000000"/>
  </r>
  <r>
    <s v="TXN-2025-216"/>
    <s v="2025-03-24"/>
    <x v="2"/>
    <x v="2"/>
    <s v="  Sari Yuliana  "/>
    <s v="Sari Yuliana"/>
    <x v="3"/>
    <s v="PROD008"/>
    <n v="2"/>
    <x v="2"/>
    <n v="250000"/>
    <n v="500000"/>
    <n v="60000000"/>
  </r>
  <r>
    <s v="TXN-2025-217"/>
    <s v="2025-03-25"/>
    <x v="2"/>
    <x v="2"/>
    <s v="Bambang H."/>
    <s v="Bambang H."/>
    <x v="2"/>
    <s v="PROD006"/>
    <n v="1"/>
    <x v="0"/>
    <n v="280000"/>
    <n v="280000"/>
    <n v="18000000"/>
  </r>
  <r>
    <s v="TXN-2025-218"/>
    <s v="2025-03-26"/>
    <x v="2"/>
    <x v="2"/>
    <s v="andi WIJAYA"/>
    <s v="Andi Wijaya"/>
    <x v="4"/>
    <s v="PROD009"/>
    <n v="5"/>
    <x v="1"/>
    <n v="650000"/>
    <n v="3250000"/>
    <n v="24000000"/>
  </r>
  <r>
    <s v="TXN-2025-219"/>
    <s v="2025-03-27"/>
    <x v="2"/>
    <x v="2"/>
    <s v="Bambang H."/>
    <s v="Bambang H."/>
    <x v="2"/>
    <s v="PROD005"/>
    <n v="3"/>
    <x v="0"/>
    <n v="250000"/>
    <n v="750000"/>
    <n v="18000000"/>
  </r>
  <r>
    <s v="TXN-2025-220"/>
    <s v="2025-03-27"/>
    <x v="2"/>
    <x v="2"/>
    <s v=" mega utami "/>
    <s v="Mega Utami"/>
    <x v="1"/>
    <s v="PROD005"/>
    <n v="1"/>
    <x v="0"/>
    <n v="250000"/>
    <n v="250000"/>
    <n v="18000000"/>
  </r>
  <r>
    <s v="TXN-2025-221"/>
    <s v="2025-03-27"/>
    <x v="2"/>
    <x v="2"/>
    <s v="andi WIJAYA"/>
    <s v="Andi Wijaya"/>
    <x v="2"/>
    <s v="PROD002"/>
    <n v="4"/>
    <x v="2"/>
    <n v="4500000"/>
    <n v="18000000"/>
    <n v="60000000"/>
  </r>
  <r>
    <s v="TXN-2025-222"/>
    <s v="2025-03-29"/>
    <x v="2"/>
    <x v="2"/>
    <s v="RINA marlina"/>
    <s v="Rina Marlina"/>
    <x v="0"/>
    <s v="PROD010"/>
    <n v="2"/>
    <x v="0"/>
    <n v="350000"/>
    <n v="700000"/>
    <n v="18000000"/>
  </r>
  <r>
    <s v="TXN-2025-223"/>
    <s v="2025-03-30"/>
    <x v="2"/>
    <x v="2"/>
    <s v="RINA marlina"/>
    <s v="Rina Marlina"/>
    <x v="4"/>
    <s v="PROD009"/>
    <n v="4"/>
    <x v="1"/>
    <n v="650000"/>
    <n v="2600000"/>
    <n v="24000000"/>
  </r>
  <r>
    <s v="TXN-2025-224"/>
    <s v="2025-03-30"/>
    <x v="2"/>
    <x v="2"/>
    <s v=" mega utami "/>
    <s v="Mega Utami"/>
    <x v="0"/>
    <s v="PROD007"/>
    <n v="3"/>
    <x v="2"/>
    <n v="1800000"/>
    <n v="5400000"/>
    <n v="60000000"/>
  </r>
  <r>
    <s v="TXN-2025-225"/>
    <s v="2025-03-31"/>
    <x v="2"/>
    <x v="2"/>
    <s v="Eko Prasetyo"/>
    <s v="Eko Prasetyo"/>
    <x v="3"/>
    <s v="PROD007"/>
    <n v="2"/>
    <x v="2"/>
    <n v="1800000"/>
    <n v="3600000"/>
    <n v="60000000"/>
  </r>
  <r>
    <s v="TXN-2025-226"/>
    <s v="2025-03-31"/>
    <x v="2"/>
    <x v="2"/>
    <s v=" mega utami "/>
    <s v="Mega Utami"/>
    <x v="2"/>
    <s v="PROD006"/>
    <n v="1"/>
    <x v="0"/>
    <n v="280000"/>
    <n v="280000"/>
    <n v="18000000"/>
  </r>
  <r>
    <s v="TXN-2025-227"/>
    <s v="2025-03-31"/>
    <x v="2"/>
    <x v="2"/>
    <s v=" mega utami "/>
    <s v="Mega Utami"/>
    <x v="2"/>
    <s v="PROD003"/>
    <n v="1"/>
    <x v="1"/>
    <n v="1200000"/>
    <n v="1200000"/>
    <n v="24000000"/>
  </r>
  <r>
    <s v="TXN-2025-228"/>
    <s v="2025-03-31"/>
    <x v="2"/>
    <x v="2"/>
    <s v="Bambang H."/>
    <s v="Bambang H."/>
    <x v="3"/>
    <s v="PROD005"/>
    <n v="2"/>
    <x v="0"/>
    <n v="250000"/>
    <n v="500000"/>
    <n v="18000000"/>
  </r>
  <r>
    <s v="TXN-2025-229"/>
    <s v="2025-04-01"/>
    <x v="3"/>
    <x v="3"/>
    <s v="  budi santoso  "/>
    <s v="Budi Santoso"/>
    <x v="0"/>
    <s v="PROD001"/>
    <n v="2"/>
    <x v="2"/>
    <n v="7500000"/>
    <n v="15000000"/>
    <n v="65000000"/>
  </r>
  <r>
    <s v="TXN-2025-230"/>
    <s v="2025-04-02"/>
    <x v="3"/>
    <x v="3"/>
    <s v="RINA marlina"/>
    <s v="Rina Marlina"/>
    <x v="4"/>
    <s v="PROD005"/>
    <n v="1"/>
    <x v="0"/>
    <n v="250000"/>
    <n v="250000"/>
    <n v="19500000"/>
  </r>
  <r>
    <s v="TXN-2025-231"/>
    <s v="2025-04-02"/>
    <x v="3"/>
    <x v="3"/>
    <s v="  budi santoso  "/>
    <s v="Budi Santoso"/>
    <x v="0"/>
    <s v="PROD002"/>
    <n v="1"/>
    <x v="2"/>
    <n v="4500000"/>
    <n v="4500000"/>
    <n v="65000000"/>
  </r>
  <r>
    <s v="TXN-2025-232"/>
    <s v="2025-04-02"/>
    <x v="3"/>
    <x v="3"/>
    <s v=" mega utami "/>
    <s v="Mega Utami"/>
    <x v="1"/>
    <s v="PROD006"/>
    <n v="3"/>
    <x v="0"/>
    <n v="280000"/>
    <n v="840000"/>
    <n v="19500000"/>
  </r>
  <r>
    <s v="TXN-2025-233"/>
    <s v="2025-04-02"/>
    <x v="3"/>
    <x v="3"/>
    <s v="Eko Prasetyo"/>
    <s v="Eko Prasetyo"/>
    <x v="0"/>
    <s v="PROD008"/>
    <n v="10"/>
    <x v="2"/>
    <n v="250000"/>
    <n v="2500000"/>
    <n v="65000000"/>
  </r>
  <r>
    <s v="TXN-2025-234"/>
    <s v="2025-04-03"/>
    <x v="3"/>
    <x v="3"/>
    <s v="RINA marlina"/>
    <s v="Rina Marlina"/>
    <x v="4"/>
    <s v="PROD005"/>
    <n v="2"/>
    <x v="0"/>
    <n v="250000"/>
    <n v="500000"/>
    <n v="19500000"/>
  </r>
  <r>
    <s v="TXN-2025-235"/>
    <s v="2025-04-03"/>
    <x v="3"/>
    <x v="3"/>
    <s v="andi WIJAYA"/>
    <s v="Andi Wijaya"/>
    <x v="2"/>
    <s v="PROD008"/>
    <n v="1"/>
    <x v="2"/>
    <n v="250000"/>
    <n v="250000"/>
    <n v="65000000"/>
  </r>
  <r>
    <s v="TXN-2025-236"/>
    <s v="2025-04-04"/>
    <x v="3"/>
    <x v="3"/>
    <s v="andi WIJAYA"/>
    <s v="Andi Wijaya"/>
    <x v="0"/>
    <s v="PROD004"/>
    <n v="1"/>
    <x v="1"/>
    <n v="950000"/>
    <n v="950000"/>
    <n v="26000000"/>
  </r>
  <r>
    <s v="TXN-2025-237"/>
    <s v="2025-04-04"/>
    <x v="3"/>
    <x v="3"/>
    <s v="andi WIJAYA"/>
    <s v="Andi Wijaya"/>
    <x v="3"/>
    <s v="PROD004"/>
    <n v="1"/>
    <x v="1"/>
    <n v="950000"/>
    <n v="950000"/>
    <n v="26000000"/>
  </r>
  <r>
    <s v="TXN-2025-238"/>
    <s v="2025-04-05"/>
    <x v="3"/>
    <x v="3"/>
    <s v="Ahmad Fauzi"/>
    <s v="Ahmad Fauzi"/>
    <x v="4"/>
    <s v="PROD009"/>
    <n v="4"/>
    <x v="1"/>
    <n v="650000"/>
    <n v="2600000"/>
    <n v="26000000"/>
  </r>
  <r>
    <s v="TXN-2025-239"/>
    <s v="2025-04-05"/>
    <x v="3"/>
    <x v="3"/>
    <s v="Bambang H."/>
    <s v="Bambang H."/>
    <x v="2"/>
    <s v="PROD005"/>
    <n v="1"/>
    <x v="0"/>
    <n v="250000"/>
    <n v="250000"/>
    <n v="19500000"/>
  </r>
  <r>
    <s v="TXN-2025-240"/>
    <s v="2025-04-05"/>
    <x v="3"/>
    <x v="3"/>
    <s v="  siti RAHMA  "/>
    <s v="Siti Rahma"/>
    <x v="4"/>
    <s v="PROD009"/>
    <n v="2"/>
    <x v="1"/>
    <n v="650000"/>
    <n v="1300000"/>
    <n v="26000000"/>
  </r>
  <r>
    <s v="TXN-2025-241"/>
    <s v="2025-04-05"/>
    <x v="3"/>
    <x v="3"/>
    <s v=" mega utami "/>
    <s v="Mega Utami"/>
    <x v="3"/>
    <s v="PROD005"/>
    <n v="1"/>
    <x v="0"/>
    <n v="250000"/>
    <n v="250000"/>
    <n v="19500000"/>
  </r>
  <r>
    <s v="TXN-2025-242"/>
    <s v="2025-04-05"/>
    <x v="3"/>
    <x v="3"/>
    <s v="  siti RAHMA  "/>
    <s v="Siti Rahma"/>
    <x v="1"/>
    <s v="PROD003"/>
    <n v="2"/>
    <x v="1"/>
    <n v="1200000"/>
    <n v="2400000"/>
    <n v="26000000"/>
  </r>
  <r>
    <s v="TXN-2025-243"/>
    <s v="2025-04-06"/>
    <x v="3"/>
    <x v="3"/>
    <s v="  DEWI lestari  "/>
    <s v="Dewi Lestari"/>
    <x v="4"/>
    <s v="PROD002"/>
    <n v="2"/>
    <x v="2"/>
    <n v="4500000"/>
    <n v="9000000"/>
    <n v="65000000"/>
  </r>
  <r>
    <s v="TXN-2025-244"/>
    <s v="2025-04-06"/>
    <x v="3"/>
    <x v="3"/>
    <s v="Bambang H."/>
    <s v="Bambang H."/>
    <x v="4"/>
    <s v="PROD010"/>
    <n v="3"/>
    <x v="0"/>
    <n v="350000"/>
    <n v="1050000"/>
    <n v="19500000"/>
  </r>
  <r>
    <s v="TXN-2025-245"/>
    <s v="2025-04-06"/>
    <x v="3"/>
    <x v="3"/>
    <s v="andi WIJAYA"/>
    <s v="Andi Wijaya"/>
    <x v="0"/>
    <s v="PROD010"/>
    <n v="1"/>
    <x v="0"/>
    <n v="350000"/>
    <n v="350000"/>
    <n v="19500000"/>
  </r>
  <r>
    <s v="TXN-2025-246"/>
    <s v="2025-04-06"/>
    <x v="3"/>
    <x v="3"/>
    <s v="RINA marlina"/>
    <s v="Rina Marlina"/>
    <x v="3"/>
    <s v="PROD004"/>
    <n v="1"/>
    <x v="1"/>
    <n v="950000"/>
    <n v="950000"/>
    <n v="26000000"/>
  </r>
  <r>
    <s v="TXN-2025-247"/>
    <s v="2025-04-06"/>
    <x v="3"/>
    <x v="3"/>
    <s v="Bambang H."/>
    <s v="Bambang H."/>
    <x v="3"/>
    <s v="PROD004"/>
    <n v="1"/>
    <x v="1"/>
    <n v="950000"/>
    <n v="950000"/>
    <n v="26000000"/>
  </r>
  <r>
    <s v="TXN-2025-248"/>
    <s v="2025-04-07"/>
    <x v="3"/>
    <x v="3"/>
    <s v="Ahmad Fauzi"/>
    <s v="Ahmad Fauzi"/>
    <x v="1"/>
    <s v="PROD001"/>
    <n v="4"/>
    <x v="2"/>
    <n v="7500000"/>
    <n v="30000000"/>
    <n v="65000000"/>
  </r>
  <r>
    <s v="TXN-2025-249"/>
    <s v="2025-04-07"/>
    <x v="3"/>
    <x v="3"/>
    <s v="RINA marlina"/>
    <s v="Rina Marlina"/>
    <x v="3"/>
    <s v="PROD009"/>
    <n v="4"/>
    <x v="1"/>
    <n v="650000"/>
    <n v="2600000"/>
    <n v="26000000"/>
  </r>
  <r>
    <s v="TXN-2025-250"/>
    <s v="2025-04-08"/>
    <x v="3"/>
    <x v="3"/>
    <s v="  budi santoso  "/>
    <s v="Budi Santoso"/>
    <x v="4"/>
    <s v="PROD004"/>
    <n v="2"/>
    <x v="1"/>
    <n v="950000"/>
    <n v="1900000"/>
    <n v="26000000"/>
  </r>
  <r>
    <s v="TXN-2025-251"/>
    <s v="2025-04-08"/>
    <x v="3"/>
    <x v="3"/>
    <s v="Ahmad Fauzi"/>
    <s v="Ahmad Fauzi"/>
    <x v="1"/>
    <s v="PROD004"/>
    <n v="2"/>
    <x v="1"/>
    <n v="950000"/>
    <n v="1900000"/>
    <n v="26000000"/>
  </r>
  <r>
    <s v="TXN-2025-252"/>
    <s v="2025-04-08"/>
    <x v="3"/>
    <x v="3"/>
    <s v="  budi santoso  "/>
    <s v="Budi Santoso"/>
    <x v="3"/>
    <s v="PROD001"/>
    <n v="2"/>
    <x v="2"/>
    <n v="7500000"/>
    <n v="15000000"/>
    <n v="65000000"/>
  </r>
  <r>
    <s v="TXN-2025-253"/>
    <s v="2025-04-09"/>
    <x v="3"/>
    <x v="3"/>
    <s v="RINA marlina"/>
    <s v="Rina Marlina"/>
    <x v="1"/>
    <s v="PROD002"/>
    <n v="1"/>
    <x v="2"/>
    <n v="4500000"/>
    <n v="4500000"/>
    <n v="65000000"/>
  </r>
  <r>
    <s v="TXN-2025-254"/>
    <s v="2025-04-09"/>
    <x v="3"/>
    <x v="3"/>
    <s v="andi WIJAYA"/>
    <s v="Andi Wijaya"/>
    <x v="3"/>
    <s v="PROD007"/>
    <n v="4"/>
    <x v="2"/>
    <n v="1800000"/>
    <n v="7200000"/>
    <n v="65000000"/>
  </r>
  <r>
    <s v="TXN-2025-255"/>
    <s v="2025-04-09"/>
    <x v="3"/>
    <x v="3"/>
    <s v="  siti RAHMA  "/>
    <s v="Siti Rahma"/>
    <x v="3"/>
    <s v="PROD006"/>
    <n v="2"/>
    <x v="0"/>
    <n v="280000"/>
    <n v="560000"/>
    <n v="19500000"/>
  </r>
  <r>
    <s v="TXN-2025-256"/>
    <s v="2025-04-09"/>
    <x v="3"/>
    <x v="3"/>
    <s v=" mega utami "/>
    <s v="Mega Utami"/>
    <x v="0"/>
    <s v="PROD008"/>
    <n v="1"/>
    <x v="2"/>
    <n v="250000"/>
    <n v="250000"/>
    <n v="65000000"/>
  </r>
  <r>
    <s v="TXN-2025-257"/>
    <s v="2025-04-09"/>
    <x v="3"/>
    <x v="3"/>
    <s v="Bambang H."/>
    <s v="Bambang H."/>
    <x v="3"/>
    <s v="PROD002"/>
    <n v="2"/>
    <x v="2"/>
    <n v="4500000"/>
    <n v="9000000"/>
    <n v="65000000"/>
  </r>
  <r>
    <s v="TXN-2025-258"/>
    <s v="2025-04-09"/>
    <x v="3"/>
    <x v="3"/>
    <s v="Bambang H."/>
    <s v="Bambang H."/>
    <x v="1"/>
    <s v="PROD003"/>
    <n v="1"/>
    <x v="1"/>
    <n v="1200000"/>
    <n v="1200000"/>
    <n v="26000000"/>
  </r>
  <r>
    <s v="TXN-2025-259"/>
    <s v="2025-04-09"/>
    <x v="3"/>
    <x v="3"/>
    <s v="andi WIJAYA"/>
    <s v="Andi Wijaya"/>
    <x v="4"/>
    <s v="PROD001"/>
    <n v="1"/>
    <x v="2"/>
    <n v="7500000"/>
    <n v="7500000"/>
    <n v="65000000"/>
  </r>
  <r>
    <s v="TXN-2025-260"/>
    <s v="2025-04-09"/>
    <x v="3"/>
    <x v="3"/>
    <s v=" mega utami "/>
    <s v="Mega Utami"/>
    <x v="0"/>
    <s v="PROD009"/>
    <n v="3"/>
    <x v="1"/>
    <n v="650000"/>
    <n v="1950000"/>
    <n v="26000000"/>
  </r>
  <r>
    <s v="TXN-2025-261"/>
    <s v="2025-04-09"/>
    <x v="3"/>
    <x v="3"/>
    <s v="  budi santoso  "/>
    <s v="Budi Santoso"/>
    <x v="3"/>
    <s v="PROD003"/>
    <n v="1"/>
    <x v="1"/>
    <n v="1200000"/>
    <n v="1200000"/>
    <n v="26000000"/>
  </r>
  <r>
    <s v="TXN-2025-262"/>
    <s v="2025-04-10"/>
    <x v="3"/>
    <x v="3"/>
    <s v="  siti RAHMA  "/>
    <s v="Siti Rahma"/>
    <x v="3"/>
    <s v="PROD007"/>
    <n v="2"/>
    <x v="2"/>
    <n v="1800000"/>
    <n v="3600000"/>
    <n v="65000000"/>
  </r>
  <r>
    <s v="TXN-2025-263"/>
    <s v="2025-04-10"/>
    <x v="3"/>
    <x v="3"/>
    <s v=" mega utami "/>
    <s v="Mega Utami"/>
    <x v="1"/>
    <s v="PROD008"/>
    <n v="1"/>
    <x v="2"/>
    <n v="250000"/>
    <n v="250000"/>
    <n v="65000000"/>
  </r>
  <r>
    <s v="TXN-2025-264"/>
    <s v="2025-04-10"/>
    <x v="3"/>
    <x v="3"/>
    <s v="  budi santoso  "/>
    <s v="Budi Santoso"/>
    <x v="0"/>
    <s v="PROD008"/>
    <n v="1"/>
    <x v="2"/>
    <n v="250000"/>
    <n v="250000"/>
    <n v="65000000"/>
  </r>
  <r>
    <s v="TXN-2025-265"/>
    <s v="2025-04-10"/>
    <x v="3"/>
    <x v="3"/>
    <s v=" mega utami "/>
    <s v="Mega Utami"/>
    <x v="3"/>
    <s v="PROD004"/>
    <n v="1"/>
    <x v="1"/>
    <n v="950000"/>
    <n v="950000"/>
    <n v="26000000"/>
  </r>
  <r>
    <s v="TXN-2025-266"/>
    <s v="2025-04-11"/>
    <x v="3"/>
    <x v="3"/>
    <s v="  DEWI lestari  "/>
    <s v="Dewi Lestari"/>
    <x v="4"/>
    <s v="PROD005"/>
    <n v="1"/>
    <x v="0"/>
    <n v="250000"/>
    <n v="250000"/>
    <n v="19500000"/>
  </r>
  <r>
    <s v="TXN-2025-267"/>
    <s v="2025-04-11"/>
    <x v="3"/>
    <x v="3"/>
    <s v="Bambang H."/>
    <s v="Bambang H."/>
    <x v="4"/>
    <s v="PROD006"/>
    <n v="3"/>
    <x v="0"/>
    <n v="280000"/>
    <n v="840000"/>
    <n v="19500000"/>
  </r>
  <r>
    <s v="TXN-2025-268"/>
    <s v="2025-04-11"/>
    <x v="3"/>
    <x v="3"/>
    <s v="  DEWI lestari  "/>
    <s v="Dewi Lestari"/>
    <x v="3"/>
    <s v="PROD005"/>
    <n v="1"/>
    <x v="0"/>
    <n v="250000"/>
    <n v="250000"/>
    <n v="19500000"/>
  </r>
  <r>
    <s v="TXN-2025-269"/>
    <s v="2025-04-11"/>
    <x v="3"/>
    <x v="3"/>
    <s v=" mega utami "/>
    <s v="Mega Utami"/>
    <x v="4"/>
    <s v="PROD001"/>
    <n v="2"/>
    <x v="2"/>
    <n v="7500000"/>
    <n v="15000000"/>
    <n v="65000000"/>
  </r>
  <r>
    <s v="TXN-2025-270"/>
    <s v="2025-04-11"/>
    <x v="3"/>
    <x v="3"/>
    <s v="Ahmad Fauzi"/>
    <s v="Ahmad Fauzi"/>
    <x v="0"/>
    <s v="PROD002"/>
    <n v="2"/>
    <x v="2"/>
    <n v="4500000"/>
    <n v="9000000"/>
    <n v="65000000"/>
  </r>
  <r>
    <s v="TXN-2025-271"/>
    <s v="2025-04-13"/>
    <x v="3"/>
    <x v="3"/>
    <s v="Bambang H."/>
    <s v="Bambang H."/>
    <x v="3"/>
    <s v="PROD010"/>
    <n v="2"/>
    <x v="0"/>
    <n v="350000"/>
    <n v="700000"/>
    <n v="19500000"/>
  </r>
  <r>
    <s v="TXN-2025-272"/>
    <s v="2025-04-13"/>
    <x v="3"/>
    <x v="3"/>
    <s v="  siti RAHMA  "/>
    <s v="Siti Rahma"/>
    <x v="1"/>
    <s v="PROD004"/>
    <n v="5"/>
    <x v="1"/>
    <n v="950000"/>
    <n v="4750000"/>
    <n v="26000000"/>
  </r>
  <r>
    <s v="TXN-2025-273"/>
    <s v="2025-04-13"/>
    <x v="3"/>
    <x v="3"/>
    <s v="andi WIJAYA"/>
    <s v="Andi Wijaya"/>
    <x v="0"/>
    <s v="PROD009"/>
    <n v="3"/>
    <x v="1"/>
    <n v="650000"/>
    <n v="1950000"/>
    <n v="26000000"/>
  </r>
  <r>
    <s v="TXN-2025-274"/>
    <s v="2025-04-13"/>
    <x v="3"/>
    <x v="3"/>
    <s v="  DEWI lestari  "/>
    <s v="Dewi Lestari"/>
    <x v="4"/>
    <s v="PROD001"/>
    <n v="1"/>
    <x v="2"/>
    <n v="7500000"/>
    <n v="7500000"/>
    <n v="65000000"/>
  </r>
  <r>
    <s v="TXN-2025-275"/>
    <s v="2025-04-14"/>
    <x v="3"/>
    <x v="3"/>
    <s v="andi WIJAYA"/>
    <s v="Andi Wijaya"/>
    <x v="3"/>
    <s v="PROD003"/>
    <n v="1"/>
    <x v="1"/>
    <n v="1200000"/>
    <n v="1200000"/>
    <n v="26000000"/>
  </r>
  <r>
    <s v="TXN-2025-276"/>
    <s v="2025-04-14"/>
    <x v="3"/>
    <x v="3"/>
    <s v="  budi santoso  "/>
    <s v="Budi Santoso"/>
    <x v="0"/>
    <s v="PROD007"/>
    <n v="1"/>
    <x v="2"/>
    <n v="1800000"/>
    <n v="1800000"/>
    <n v="65000000"/>
  </r>
  <r>
    <s v="TXN-2025-277"/>
    <s v="2025-04-15"/>
    <x v="3"/>
    <x v="3"/>
    <s v="  Sari Yuliana  "/>
    <s v="Sari Yuliana"/>
    <x v="4"/>
    <s v="PROD003"/>
    <n v="2"/>
    <x v="1"/>
    <n v="1200000"/>
    <n v="2400000"/>
    <n v="26000000"/>
  </r>
  <r>
    <s v="TXN-2025-278"/>
    <s v="2025-04-15"/>
    <x v="3"/>
    <x v="3"/>
    <s v="Ahmad Fauzi"/>
    <s v="Ahmad Fauzi"/>
    <x v="3"/>
    <s v="PROD001"/>
    <n v="1"/>
    <x v="2"/>
    <n v="7500000"/>
    <n v="7500000"/>
    <n v="65000000"/>
  </r>
  <r>
    <s v="TXN-2025-279"/>
    <s v="2025-04-16"/>
    <x v="3"/>
    <x v="3"/>
    <s v="  budi santoso  "/>
    <s v="Budi Santoso"/>
    <x v="2"/>
    <s v="PROD007"/>
    <n v="2"/>
    <x v="2"/>
    <n v="1800000"/>
    <n v="3600000"/>
    <n v="65000000"/>
  </r>
  <r>
    <s v="TXN-2025-280"/>
    <s v="2025-04-16"/>
    <x v="3"/>
    <x v="3"/>
    <s v="Eko Prasetyo"/>
    <s v="Eko Prasetyo"/>
    <x v="1"/>
    <s v="PROD008"/>
    <n v="2"/>
    <x v="2"/>
    <n v="250000"/>
    <n v="500000"/>
    <n v="65000000"/>
  </r>
  <r>
    <s v="TXN-2025-281"/>
    <s v="2025-04-16"/>
    <x v="3"/>
    <x v="3"/>
    <s v="  budi santoso  "/>
    <s v="Budi Santoso"/>
    <x v="4"/>
    <s v="PROD003"/>
    <n v="1"/>
    <x v="1"/>
    <n v="1200000"/>
    <n v="1200000"/>
    <n v="26000000"/>
  </r>
  <r>
    <s v="TXN-2025-282"/>
    <s v="2025-04-17"/>
    <x v="3"/>
    <x v="3"/>
    <s v="  budi santoso  "/>
    <s v="Budi Santoso"/>
    <x v="4"/>
    <s v="PROD005"/>
    <n v="3"/>
    <x v="0"/>
    <n v="250000"/>
    <n v="750000"/>
    <n v="19500000"/>
  </r>
  <r>
    <s v="TXN-2025-283"/>
    <s v="2025-04-17"/>
    <x v="3"/>
    <x v="3"/>
    <s v="  Sari Yuliana  "/>
    <s v="Sari Yuliana"/>
    <x v="2"/>
    <s v="PROD001"/>
    <n v="1"/>
    <x v="2"/>
    <n v="7500000"/>
    <n v="7500000"/>
    <n v="65000000"/>
  </r>
  <r>
    <s v="TXN-2025-284"/>
    <s v="2025-04-18"/>
    <x v="3"/>
    <x v="3"/>
    <s v="Bambang H."/>
    <s v="Bambang H."/>
    <x v="2"/>
    <s v="PROD001"/>
    <n v="1"/>
    <x v="2"/>
    <n v="7500000"/>
    <n v="7500000"/>
    <n v="65000000"/>
  </r>
  <r>
    <s v="TXN-2025-285"/>
    <s v="2025-04-18"/>
    <x v="3"/>
    <x v="3"/>
    <s v="Ahmad Fauzi"/>
    <s v="Ahmad Fauzi"/>
    <x v="0"/>
    <s v="PROD005"/>
    <n v="3"/>
    <x v="0"/>
    <n v="250000"/>
    <n v="750000"/>
    <n v="19500000"/>
  </r>
  <r>
    <s v="TXN-2025-286"/>
    <s v="2025-04-19"/>
    <x v="3"/>
    <x v="3"/>
    <s v="Ahmad Fauzi"/>
    <s v="Ahmad Fauzi"/>
    <x v="1"/>
    <s v="PROD010"/>
    <n v="2"/>
    <x v="0"/>
    <n v="350000"/>
    <n v="700000"/>
    <n v="19500000"/>
  </r>
  <r>
    <s v="TXN-2025-287"/>
    <s v="2025-04-19"/>
    <x v="3"/>
    <x v="3"/>
    <s v="  siti RAHMA  "/>
    <s v="Siti Rahma"/>
    <x v="1"/>
    <s v="PROD010"/>
    <n v="2"/>
    <x v="0"/>
    <n v="350000"/>
    <n v="700000"/>
    <n v="19500000"/>
  </r>
  <r>
    <s v="TXN-2025-288"/>
    <s v="2025-04-21"/>
    <x v="3"/>
    <x v="3"/>
    <s v="  budi santoso  "/>
    <s v="Budi Santoso"/>
    <x v="4"/>
    <s v="PROD002"/>
    <n v="2"/>
    <x v="2"/>
    <n v="4500000"/>
    <n v="9000000"/>
    <n v="65000000"/>
  </r>
  <r>
    <s v="TXN-2025-289"/>
    <s v="2025-04-21"/>
    <x v="3"/>
    <x v="3"/>
    <s v="Ahmad Fauzi"/>
    <s v="Ahmad Fauzi"/>
    <x v="2"/>
    <s v="PROD006"/>
    <n v="1"/>
    <x v="0"/>
    <n v="280000"/>
    <n v="280000"/>
    <n v="19500000"/>
  </r>
  <r>
    <s v="TXN-2025-290"/>
    <s v="2025-04-21"/>
    <x v="3"/>
    <x v="3"/>
    <s v="RINA marlina"/>
    <s v="Rina Marlina"/>
    <x v="1"/>
    <s v="PROD005"/>
    <n v="3"/>
    <x v="0"/>
    <n v="250000"/>
    <n v="750000"/>
    <n v="19500000"/>
  </r>
  <r>
    <s v="TXN-2025-291"/>
    <s v="2025-04-21"/>
    <x v="3"/>
    <x v="3"/>
    <s v="  siti RAHMA  "/>
    <s v="Siti Rahma"/>
    <x v="3"/>
    <s v="PROD008"/>
    <n v="3"/>
    <x v="2"/>
    <n v="250000"/>
    <n v="750000"/>
    <n v="65000000"/>
  </r>
  <r>
    <s v="TXN-2025-292"/>
    <s v="2025-04-21"/>
    <x v="3"/>
    <x v="3"/>
    <s v="RINA marlina"/>
    <s v="Rina Marlina"/>
    <x v="1"/>
    <s v="PROD009"/>
    <n v="2"/>
    <x v="1"/>
    <n v="650000"/>
    <n v="1300000"/>
    <n v="26000000"/>
  </r>
  <r>
    <s v="TXN-2025-293"/>
    <s v="2025-04-22"/>
    <x v="3"/>
    <x v="3"/>
    <s v="  Sari Yuliana  "/>
    <s v="Sari Yuliana"/>
    <x v="4"/>
    <s v="PROD009"/>
    <n v="1"/>
    <x v="1"/>
    <n v="650000"/>
    <n v="650000"/>
    <n v="26000000"/>
  </r>
  <r>
    <s v="TXN-2025-294"/>
    <s v="2025-04-22"/>
    <x v="3"/>
    <x v="3"/>
    <s v="RINA marlina"/>
    <s v="Rina Marlina"/>
    <x v="1"/>
    <s v="PROD008"/>
    <n v="2"/>
    <x v="2"/>
    <n v="250000"/>
    <n v="500000"/>
    <n v="65000000"/>
  </r>
  <r>
    <s v="TXN-2025-295"/>
    <s v="2025-04-22"/>
    <x v="3"/>
    <x v="3"/>
    <s v="andi WIJAYA"/>
    <s v="Andi Wijaya"/>
    <x v="0"/>
    <s v="PROD003"/>
    <n v="1"/>
    <x v="1"/>
    <n v="1200000"/>
    <n v="1200000"/>
    <n v="26000000"/>
  </r>
  <r>
    <s v="TXN-2025-296"/>
    <s v="2025-04-22"/>
    <x v="3"/>
    <x v="3"/>
    <s v=" mega utami "/>
    <s v="Mega Utami"/>
    <x v="2"/>
    <s v="PROD009"/>
    <n v="1"/>
    <x v="1"/>
    <n v="650000"/>
    <n v="650000"/>
    <n v="26000000"/>
  </r>
  <r>
    <s v="TXN-2025-297"/>
    <s v="2025-04-23"/>
    <x v="3"/>
    <x v="3"/>
    <s v="RINA marlina"/>
    <s v="Rina Marlina"/>
    <x v="4"/>
    <s v="PROD008"/>
    <n v="4"/>
    <x v="2"/>
    <n v="250000"/>
    <n v="1000000"/>
    <n v="65000000"/>
  </r>
  <r>
    <s v="TXN-2025-298"/>
    <s v="2025-04-23"/>
    <x v="3"/>
    <x v="3"/>
    <s v="  Sari Yuliana  "/>
    <s v="Sari Yuliana"/>
    <x v="4"/>
    <s v="PROD005"/>
    <n v="1"/>
    <x v="0"/>
    <n v="250000"/>
    <n v="250000"/>
    <n v="19500000"/>
  </r>
  <r>
    <s v="TXN-2025-299"/>
    <s v="2025-04-23"/>
    <x v="3"/>
    <x v="3"/>
    <s v="andi WIJAYA"/>
    <s v="Andi Wijaya"/>
    <x v="2"/>
    <s v="PROD004"/>
    <n v="5"/>
    <x v="1"/>
    <n v="950000"/>
    <n v="4750000"/>
    <n v="26000000"/>
  </r>
  <r>
    <s v="TXN-2025-300"/>
    <s v="2025-04-23"/>
    <x v="3"/>
    <x v="3"/>
    <s v="  Sari Yuliana  "/>
    <s v="Sari Yuliana"/>
    <x v="2"/>
    <s v="PROD002"/>
    <n v="2"/>
    <x v="2"/>
    <n v="4500000"/>
    <n v="9000000"/>
    <n v="65000000"/>
  </r>
  <r>
    <s v="TXN-2025-301"/>
    <s v="2025-04-23"/>
    <x v="3"/>
    <x v="3"/>
    <s v="  Sari Yuliana  "/>
    <s v="Sari Yuliana"/>
    <x v="2"/>
    <s v="PROD006"/>
    <n v="1"/>
    <x v="0"/>
    <n v="280000"/>
    <n v="280000"/>
    <n v="19500000"/>
  </r>
  <r>
    <s v="TXN-2025-302"/>
    <s v="2025-04-23"/>
    <x v="3"/>
    <x v="3"/>
    <s v="  budi santoso  "/>
    <s v="Budi Santoso"/>
    <x v="4"/>
    <s v="PROD003"/>
    <n v="2"/>
    <x v="1"/>
    <n v="1200000"/>
    <n v="2400000"/>
    <n v="26000000"/>
  </r>
  <r>
    <s v="TXN-2025-303"/>
    <s v="2025-04-23"/>
    <x v="3"/>
    <x v="3"/>
    <s v="  Sari Yuliana  "/>
    <s v="Sari Yuliana"/>
    <x v="2"/>
    <s v="PROD008"/>
    <n v="4"/>
    <x v="2"/>
    <n v="250000"/>
    <n v="1000000"/>
    <n v="65000000"/>
  </r>
  <r>
    <s v="TXN-2025-304"/>
    <s v="2025-04-24"/>
    <x v="3"/>
    <x v="3"/>
    <s v="RINA marlina"/>
    <s v="Rina Marlina"/>
    <x v="2"/>
    <s v="PROD005"/>
    <n v="3"/>
    <x v="0"/>
    <n v="250000"/>
    <n v="750000"/>
    <n v="19500000"/>
  </r>
  <r>
    <s v="TXN-2025-305"/>
    <s v="2025-04-24"/>
    <x v="3"/>
    <x v="3"/>
    <s v=" mega utami "/>
    <s v="Mega Utami"/>
    <x v="4"/>
    <s v="PROD003"/>
    <n v="3"/>
    <x v="1"/>
    <n v="1200000"/>
    <n v="3600000"/>
    <n v="26000000"/>
  </r>
  <r>
    <s v="TXN-2025-306"/>
    <s v="2025-04-25"/>
    <x v="3"/>
    <x v="3"/>
    <s v="  Sari Yuliana  "/>
    <s v="Sari Yuliana"/>
    <x v="4"/>
    <s v="PROD001"/>
    <n v="2"/>
    <x v="2"/>
    <n v="7500000"/>
    <n v="15000000"/>
    <n v="65000000"/>
  </r>
  <r>
    <s v="TXN-2025-307"/>
    <s v="2025-04-26"/>
    <x v="3"/>
    <x v="3"/>
    <s v="  Sari Yuliana  "/>
    <s v="Sari Yuliana"/>
    <x v="0"/>
    <s v="PROD006"/>
    <n v="2"/>
    <x v="0"/>
    <n v="280000"/>
    <n v="560000"/>
    <n v="19500000"/>
  </r>
  <r>
    <s v="TXN-2025-308"/>
    <s v="2025-04-26"/>
    <x v="3"/>
    <x v="3"/>
    <s v="Ahmad Fauzi"/>
    <s v="Ahmad Fauzi"/>
    <x v="1"/>
    <s v="PROD005"/>
    <n v="3"/>
    <x v="0"/>
    <n v="250000"/>
    <n v="750000"/>
    <n v="19500000"/>
  </r>
  <r>
    <s v="TXN-2025-309"/>
    <s v="2025-04-26"/>
    <x v="3"/>
    <x v="3"/>
    <s v="Eko Prasetyo"/>
    <s v="Eko Prasetyo"/>
    <x v="3"/>
    <s v="PROD010"/>
    <n v="1"/>
    <x v="0"/>
    <n v="350000"/>
    <n v="350000"/>
    <n v="19500000"/>
  </r>
  <r>
    <s v="TXN-2025-310"/>
    <s v="2025-04-27"/>
    <x v="3"/>
    <x v="3"/>
    <s v="  DEWI lestari  "/>
    <s v="Dewi Lestari"/>
    <x v="4"/>
    <s v="PROD004"/>
    <n v="2"/>
    <x v="1"/>
    <n v="950000"/>
    <n v="1900000"/>
    <n v="26000000"/>
  </r>
  <r>
    <s v="TXN-2025-311"/>
    <s v="2025-04-27"/>
    <x v="3"/>
    <x v="3"/>
    <s v="andi WIJAYA"/>
    <s v="Andi Wijaya"/>
    <x v="3"/>
    <s v="PROD003"/>
    <n v="1"/>
    <x v="1"/>
    <n v="1200000"/>
    <n v="1200000"/>
    <n v="26000000"/>
  </r>
  <r>
    <s v="TXN-2025-312"/>
    <s v="2025-04-28"/>
    <x v="3"/>
    <x v="3"/>
    <s v="Eko Prasetyo"/>
    <s v="Eko Prasetyo"/>
    <x v="0"/>
    <s v="PROD010"/>
    <n v="10"/>
    <x v="0"/>
    <n v="350000"/>
    <n v="3500000"/>
    <n v="19500000"/>
  </r>
  <r>
    <s v="TXN-2025-313"/>
    <s v="2025-04-28"/>
    <x v="3"/>
    <x v="3"/>
    <s v="andi WIJAYA"/>
    <s v="Andi Wijaya"/>
    <x v="1"/>
    <s v="PROD007"/>
    <n v="5"/>
    <x v="2"/>
    <n v="1800000"/>
    <n v="9000000"/>
    <n v="65000000"/>
  </r>
  <r>
    <s v="TXN-2025-314"/>
    <s v="2025-04-28"/>
    <x v="3"/>
    <x v="3"/>
    <s v="  DEWI lestari  "/>
    <s v="Dewi Lestari"/>
    <x v="1"/>
    <s v="PROD007"/>
    <n v="1"/>
    <x v="2"/>
    <n v="1800000"/>
    <n v="1800000"/>
    <n v="65000000"/>
  </r>
  <r>
    <s v="TXN-2025-315"/>
    <s v="2025-04-28"/>
    <x v="3"/>
    <x v="3"/>
    <s v=" mega utami "/>
    <s v="Mega Utami"/>
    <x v="1"/>
    <s v="PROD009"/>
    <n v="3"/>
    <x v="1"/>
    <n v="650000"/>
    <n v="1950000"/>
    <n v="26000000"/>
  </r>
  <r>
    <s v="TXN-2025-316"/>
    <s v="2025-04-29"/>
    <x v="3"/>
    <x v="3"/>
    <s v="  siti RAHMA  "/>
    <s v="Siti Rahma"/>
    <x v="0"/>
    <s v="PROD006"/>
    <n v="4"/>
    <x v="0"/>
    <n v="280000"/>
    <n v="1120000"/>
    <n v="19500000"/>
  </r>
  <r>
    <s v="TXN-2025-317"/>
    <s v="2025-04-29"/>
    <x v="3"/>
    <x v="3"/>
    <s v="  DEWI lestari  "/>
    <s v="Dewi Lestari"/>
    <x v="2"/>
    <s v="PROD002"/>
    <n v="1"/>
    <x v="2"/>
    <n v="4500000"/>
    <n v="4500000"/>
    <n v="65000000"/>
  </r>
  <r>
    <s v="TXN-2025-318"/>
    <s v="2025-04-30"/>
    <x v="3"/>
    <x v="3"/>
    <s v="Bambang H."/>
    <s v="Bambang H."/>
    <x v="1"/>
    <s v="PROD007"/>
    <n v="2"/>
    <x v="2"/>
    <n v="1800000"/>
    <n v="3600000"/>
    <n v="65000000"/>
  </r>
  <r>
    <s v="TXN-2025-319"/>
    <s v="2025-04-30"/>
    <x v="3"/>
    <x v="3"/>
    <s v="Eko Prasetyo"/>
    <s v="Eko Prasetyo"/>
    <x v="1"/>
    <s v="PROD002"/>
    <n v="4"/>
    <x v="2"/>
    <n v="4500000"/>
    <n v="18000000"/>
    <n v="65000000"/>
  </r>
  <r>
    <s v="TXN-2025-320"/>
    <s v="2025-05-01"/>
    <x v="4"/>
    <x v="4"/>
    <s v="RINA marlina"/>
    <s v="Rina Marlina"/>
    <x v="0"/>
    <s v="PROD003"/>
    <n v="1"/>
    <x v="1"/>
    <n v="1200000"/>
    <n v="1200000"/>
    <n v="28000000"/>
  </r>
  <r>
    <s v="TXN-2025-321"/>
    <s v="2025-05-01"/>
    <x v="4"/>
    <x v="4"/>
    <s v="  budi santoso  "/>
    <s v="Budi Santoso"/>
    <x v="2"/>
    <s v="PROD003"/>
    <n v="2"/>
    <x v="1"/>
    <n v="1200000"/>
    <n v="2400000"/>
    <n v="28000000"/>
  </r>
  <r>
    <s v="TXN-2025-322"/>
    <s v="2025-05-02"/>
    <x v="4"/>
    <x v="4"/>
    <s v="Bambang H."/>
    <s v="Bambang H."/>
    <x v="1"/>
    <s v="PROD008"/>
    <n v="1"/>
    <x v="2"/>
    <n v="250000"/>
    <n v="250000"/>
    <n v="70000000"/>
  </r>
  <r>
    <s v="TXN-2025-323"/>
    <s v="2025-05-02"/>
    <x v="4"/>
    <x v="4"/>
    <s v="  Sari Yuliana  "/>
    <s v="Sari Yuliana"/>
    <x v="1"/>
    <s v="PROD006"/>
    <n v="4"/>
    <x v="0"/>
    <n v="280000"/>
    <n v="1120000"/>
    <n v="21000000"/>
  </r>
  <r>
    <s v="TXN-2025-324"/>
    <s v="2025-05-02"/>
    <x v="4"/>
    <x v="4"/>
    <s v="  Sari Yuliana  "/>
    <s v="Sari Yuliana"/>
    <x v="2"/>
    <s v="PROD004"/>
    <n v="5"/>
    <x v="1"/>
    <n v="950000"/>
    <n v="4750000"/>
    <n v="28000000"/>
  </r>
  <r>
    <s v="TXN-2025-325"/>
    <s v="2025-05-02"/>
    <x v="4"/>
    <x v="4"/>
    <s v="RINA marlina"/>
    <s v="Rina Marlina"/>
    <x v="4"/>
    <s v="PROD001"/>
    <n v="5"/>
    <x v="2"/>
    <n v="7500000"/>
    <n v="37500000"/>
    <n v="70000000"/>
  </r>
  <r>
    <s v="TXN-2025-326"/>
    <s v="2025-05-02"/>
    <x v="4"/>
    <x v="4"/>
    <s v="RINA marlina"/>
    <s v="Rina Marlina"/>
    <x v="4"/>
    <s v="PROD005"/>
    <n v="2"/>
    <x v="0"/>
    <n v="250000"/>
    <n v="500000"/>
    <n v="21000000"/>
  </r>
  <r>
    <s v="TXN-2025-327"/>
    <s v="2025-05-02"/>
    <x v="4"/>
    <x v="4"/>
    <s v="Ahmad Fauzi"/>
    <s v="Ahmad Fauzi"/>
    <x v="1"/>
    <s v="PROD007"/>
    <n v="4"/>
    <x v="2"/>
    <n v="1800000"/>
    <n v="7200000"/>
    <n v="70000000"/>
  </r>
  <r>
    <s v="TXN-2025-328"/>
    <s v="2025-05-03"/>
    <x v="4"/>
    <x v="4"/>
    <s v="andi WIJAYA"/>
    <s v="Andi Wijaya"/>
    <x v="3"/>
    <s v="PROD004"/>
    <n v="3"/>
    <x v="1"/>
    <n v="950000"/>
    <n v="2850000"/>
    <n v="28000000"/>
  </r>
  <r>
    <s v="TXN-2025-329"/>
    <s v="2025-05-04"/>
    <x v="4"/>
    <x v="4"/>
    <s v="Ahmad Fauzi"/>
    <s v="Ahmad Fauzi"/>
    <x v="2"/>
    <s v="PROD008"/>
    <n v="1"/>
    <x v="2"/>
    <n v="250000"/>
    <n v="250000"/>
    <n v="70000000"/>
  </r>
  <r>
    <s v="TXN-2025-330"/>
    <s v="2025-05-04"/>
    <x v="4"/>
    <x v="4"/>
    <s v="  DEWI lestari  "/>
    <s v="Dewi Lestari"/>
    <x v="2"/>
    <s v="PROD005"/>
    <n v="3"/>
    <x v="0"/>
    <n v="250000"/>
    <n v="750000"/>
    <n v="21000000"/>
  </r>
  <r>
    <s v="TXN-2025-331"/>
    <s v="2025-05-05"/>
    <x v="4"/>
    <x v="4"/>
    <s v="  siti RAHMA  "/>
    <s v="Siti Rahma"/>
    <x v="3"/>
    <s v="PROD006"/>
    <n v="1"/>
    <x v="0"/>
    <n v="280000"/>
    <n v="280000"/>
    <n v="21000000"/>
  </r>
  <r>
    <s v="TXN-2025-332"/>
    <s v="2025-05-06"/>
    <x v="4"/>
    <x v="4"/>
    <s v="Eko Prasetyo"/>
    <s v="Eko Prasetyo"/>
    <x v="2"/>
    <s v="PROD005"/>
    <n v="2"/>
    <x v="0"/>
    <n v="250000"/>
    <n v="500000"/>
    <n v="21000000"/>
  </r>
  <r>
    <s v="TXN-2025-333"/>
    <s v="2025-05-06"/>
    <x v="4"/>
    <x v="4"/>
    <s v="RINA marlina"/>
    <s v="Rina Marlina"/>
    <x v="0"/>
    <s v="PROD010"/>
    <n v="1"/>
    <x v="0"/>
    <n v="350000"/>
    <n v="350000"/>
    <n v="21000000"/>
  </r>
  <r>
    <s v="TXN-2025-334"/>
    <s v="2025-05-06"/>
    <x v="4"/>
    <x v="4"/>
    <s v="andi WIJAYA"/>
    <s v="Andi Wijaya"/>
    <x v="2"/>
    <s v="PROD010"/>
    <n v="1"/>
    <x v="0"/>
    <n v="350000"/>
    <n v="350000"/>
    <n v="21000000"/>
  </r>
  <r>
    <s v="TXN-2025-335"/>
    <s v="2025-05-06"/>
    <x v="4"/>
    <x v="4"/>
    <s v="Eko Prasetyo"/>
    <s v="Eko Prasetyo"/>
    <x v="2"/>
    <s v="PROD001"/>
    <n v="1"/>
    <x v="2"/>
    <n v="7500000"/>
    <n v="7500000"/>
    <n v="70000000"/>
  </r>
  <r>
    <s v="TXN-2025-336"/>
    <s v="2025-05-06"/>
    <x v="4"/>
    <x v="4"/>
    <s v="  DEWI lestari  "/>
    <s v="Dewi Lestari"/>
    <x v="2"/>
    <s v="PROD005"/>
    <n v="2"/>
    <x v="0"/>
    <n v="250000"/>
    <n v="500000"/>
    <n v="21000000"/>
  </r>
  <r>
    <s v="TXN-2025-337"/>
    <s v="2025-05-06"/>
    <x v="4"/>
    <x v="4"/>
    <s v="  siti RAHMA  "/>
    <s v="Siti Rahma"/>
    <x v="4"/>
    <s v="PROD006"/>
    <n v="1"/>
    <x v="0"/>
    <n v="280000"/>
    <n v="280000"/>
    <n v="21000000"/>
  </r>
  <r>
    <s v="TXN-2025-338"/>
    <s v="2025-05-07"/>
    <x v="4"/>
    <x v="4"/>
    <s v="Bambang H."/>
    <s v="Bambang H."/>
    <x v="0"/>
    <s v="PROD004"/>
    <n v="3"/>
    <x v="1"/>
    <n v="950000"/>
    <n v="2850000"/>
    <n v="28000000"/>
  </r>
  <r>
    <s v="TXN-2025-339"/>
    <s v="2025-05-07"/>
    <x v="4"/>
    <x v="4"/>
    <s v="Ahmad Fauzi"/>
    <s v="Ahmad Fauzi"/>
    <x v="2"/>
    <s v="PROD001"/>
    <n v="1"/>
    <x v="2"/>
    <n v="7500000"/>
    <n v="7500000"/>
    <n v="70000000"/>
  </r>
  <r>
    <s v="TXN-2025-340"/>
    <s v="2025-05-07"/>
    <x v="4"/>
    <x v="4"/>
    <s v="  DEWI lestari  "/>
    <s v="Dewi Lestari"/>
    <x v="0"/>
    <s v="PROD002"/>
    <n v="1"/>
    <x v="2"/>
    <n v="4500000"/>
    <n v="4500000"/>
    <n v="70000000"/>
  </r>
  <r>
    <s v="TXN-2025-341"/>
    <s v="2025-05-08"/>
    <x v="4"/>
    <x v="4"/>
    <s v="  Sari Yuliana  "/>
    <s v="Sari Yuliana"/>
    <x v="0"/>
    <s v="PROD008"/>
    <n v="2"/>
    <x v="2"/>
    <n v="250000"/>
    <n v="500000"/>
    <n v="70000000"/>
  </r>
  <r>
    <s v="TXN-2025-342"/>
    <s v="2025-05-08"/>
    <x v="4"/>
    <x v="4"/>
    <s v="Ahmad Fauzi"/>
    <s v="Ahmad Fauzi"/>
    <x v="0"/>
    <s v="PROD005"/>
    <n v="3"/>
    <x v="0"/>
    <n v="250000"/>
    <n v="750000"/>
    <n v="21000000"/>
  </r>
  <r>
    <s v="TXN-2025-343"/>
    <s v="2025-05-08"/>
    <x v="4"/>
    <x v="4"/>
    <s v="  budi santoso  "/>
    <s v="Budi Santoso"/>
    <x v="3"/>
    <s v="PROD003"/>
    <n v="1"/>
    <x v="1"/>
    <n v="1200000"/>
    <n v="1200000"/>
    <n v="28000000"/>
  </r>
  <r>
    <s v="TXN-2025-344"/>
    <s v="2025-05-08"/>
    <x v="4"/>
    <x v="4"/>
    <s v="Ahmad Fauzi"/>
    <s v="Ahmad Fauzi"/>
    <x v="2"/>
    <s v="PROD007"/>
    <n v="2"/>
    <x v="2"/>
    <n v="1800000"/>
    <n v="3600000"/>
    <n v="70000000"/>
  </r>
  <r>
    <s v="TXN-2025-345"/>
    <s v="2025-05-09"/>
    <x v="4"/>
    <x v="4"/>
    <s v="  DEWI lestari  "/>
    <s v="Dewi Lestari"/>
    <x v="4"/>
    <s v="PROD009"/>
    <n v="4"/>
    <x v="1"/>
    <n v="650000"/>
    <n v="2600000"/>
    <n v="28000000"/>
  </r>
  <r>
    <s v="TXN-2025-346"/>
    <s v="2025-05-09"/>
    <x v="4"/>
    <x v="4"/>
    <s v="RINA marlina"/>
    <s v="Rina Marlina"/>
    <x v="4"/>
    <s v="PROD005"/>
    <n v="2"/>
    <x v="0"/>
    <n v="250000"/>
    <n v="500000"/>
    <n v="21000000"/>
  </r>
  <r>
    <s v="TXN-2025-347"/>
    <s v="2025-05-09"/>
    <x v="4"/>
    <x v="4"/>
    <s v="  siti RAHMA  "/>
    <s v="Siti Rahma"/>
    <x v="4"/>
    <s v="PROD002"/>
    <n v="1"/>
    <x v="2"/>
    <n v="4500000"/>
    <n v="4500000"/>
    <n v="70000000"/>
  </r>
  <r>
    <s v="TXN-2025-348"/>
    <s v="2025-05-10"/>
    <x v="4"/>
    <x v="4"/>
    <s v="  DEWI lestari  "/>
    <s v="Dewi Lestari"/>
    <x v="4"/>
    <s v="PROD005"/>
    <n v="1"/>
    <x v="0"/>
    <n v="250000"/>
    <n v="250000"/>
    <n v="21000000"/>
  </r>
  <r>
    <s v="TXN-2025-349"/>
    <s v="2025-05-10"/>
    <x v="4"/>
    <x v="4"/>
    <s v="RINA marlina"/>
    <s v="Rina Marlina"/>
    <x v="2"/>
    <s v="PROD006"/>
    <n v="4"/>
    <x v="0"/>
    <n v="280000"/>
    <n v="1120000"/>
    <n v="21000000"/>
  </r>
  <r>
    <s v="TXN-2025-350"/>
    <s v="2025-05-11"/>
    <x v="4"/>
    <x v="4"/>
    <s v="RINA marlina"/>
    <s v="Rina Marlina"/>
    <x v="4"/>
    <s v="PROD010"/>
    <n v="1"/>
    <x v="0"/>
    <n v="350000"/>
    <n v="350000"/>
    <n v="21000000"/>
  </r>
  <r>
    <s v="TXN-2025-351"/>
    <s v="2025-05-11"/>
    <x v="4"/>
    <x v="4"/>
    <s v="Ahmad Fauzi"/>
    <s v="Ahmad Fauzi"/>
    <x v="0"/>
    <s v="PROD004"/>
    <n v="4"/>
    <x v="1"/>
    <n v="950000"/>
    <n v="3800000"/>
    <n v="28000000"/>
  </r>
  <r>
    <s v="TXN-2025-352"/>
    <s v="2025-05-11"/>
    <x v="4"/>
    <x v="4"/>
    <s v="  siti RAHMA  "/>
    <s v="Siti Rahma"/>
    <x v="3"/>
    <s v="PROD004"/>
    <n v="2"/>
    <x v="1"/>
    <n v="950000"/>
    <n v="1900000"/>
    <n v="28000000"/>
  </r>
  <r>
    <s v="TXN-2025-353"/>
    <s v="2025-05-11"/>
    <x v="4"/>
    <x v="4"/>
    <s v="  DEWI lestari  "/>
    <s v="Dewi Lestari"/>
    <x v="1"/>
    <s v="PROD003"/>
    <n v="5"/>
    <x v="1"/>
    <n v="1200000"/>
    <n v="6000000"/>
    <n v="28000000"/>
  </r>
  <r>
    <s v="TXN-2025-354"/>
    <s v="2025-05-12"/>
    <x v="4"/>
    <x v="4"/>
    <s v="  DEWI lestari  "/>
    <s v="Dewi Lestari"/>
    <x v="4"/>
    <s v="PROD008"/>
    <n v="3"/>
    <x v="2"/>
    <n v="250000"/>
    <n v="750000"/>
    <n v="70000000"/>
  </r>
  <r>
    <s v="TXN-2025-355"/>
    <s v="2025-05-13"/>
    <x v="4"/>
    <x v="4"/>
    <s v="  Sari Yuliana  "/>
    <s v="Sari Yuliana"/>
    <x v="1"/>
    <s v="PROD003"/>
    <n v="10"/>
    <x v="1"/>
    <n v="1200000"/>
    <n v="12000000"/>
    <n v="28000000"/>
  </r>
  <r>
    <s v="TXN-2025-356"/>
    <s v="2025-05-13"/>
    <x v="4"/>
    <x v="4"/>
    <s v="andi WIJAYA"/>
    <s v="Andi Wijaya"/>
    <x v="1"/>
    <s v="PROD008"/>
    <n v="1"/>
    <x v="2"/>
    <n v="250000"/>
    <n v="250000"/>
    <n v="70000000"/>
  </r>
  <r>
    <s v="TXN-2025-357"/>
    <s v="2025-05-13"/>
    <x v="4"/>
    <x v="4"/>
    <s v="Eko Prasetyo"/>
    <s v="Eko Prasetyo"/>
    <x v="1"/>
    <s v="PROD010"/>
    <n v="3"/>
    <x v="0"/>
    <n v="350000"/>
    <n v="1050000"/>
    <n v="21000000"/>
  </r>
  <r>
    <s v="TXN-2025-358"/>
    <s v="2025-05-13"/>
    <x v="4"/>
    <x v="4"/>
    <s v="andi WIJAYA"/>
    <s v="Andi Wijaya"/>
    <x v="0"/>
    <s v="PROD006"/>
    <n v="2"/>
    <x v="0"/>
    <n v="280000"/>
    <n v="560000"/>
    <n v="21000000"/>
  </r>
  <r>
    <s v="TXN-2025-359"/>
    <s v="2025-05-13"/>
    <x v="4"/>
    <x v="4"/>
    <s v="  DEWI lestari  "/>
    <s v="Dewi Lestari"/>
    <x v="4"/>
    <s v="PROD007"/>
    <n v="2"/>
    <x v="2"/>
    <n v="1800000"/>
    <n v="3600000"/>
    <n v="70000000"/>
  </r>
  <r>
    <s v="TXN-2025-360"/>
    <s v="2025-05-14"/>
    <x v="4"/>
    <x v="4"/>
    <s v="Ahmad Fauzi"/>
    <s v="Ahmad Fauzi"/>
    <x v="2"/>
    <s v="PROD009"/>
    <n v="2"/>
    <x v="1"/>
    <n v="650000"/>
    <n v="1300000"/>
    <n v="28000000"/>
  </r>
  <r>
    <s v="TXN-2025-361"/>
    <s v="2025-05-14"/>
    <x v="4"/>
    <x v="4"/>
    <s v="Bambang H."/>
    <s v="Bambang H."/>
    <x v="0"/>
    <s v="PROD008"/>
    <n v="4"/>
    <x v="2"/>
    <n v="250000"/>
    <n v="1000000"/>
    <n v="70000000"/>
  </r>
  <r>
    <s v="TXN-2025-362"/>
    <s v="2025-05-14"/>
    <x v="4"/>
    <x v="4"/>
    <s v="  DEWI lestari  "/>
    <s v="Dewi Lestari"/>
    <x v="2"/>
    <s v="PROD009"/>
    <n v="10"/>
    <x v="1"/>
    <n v="650000"/>
    <n v="6500000"/>
    <n v="28000000"/>
  </r>
  <r>
    <s v="TXN-2025-363"/>
    <s v="2025-05-15"/>
    <x v="4"/>
    <x v="4"/>
    <s v="  budi santoso  "/>
    <s v="Budi Santoso"/>
    <x v="4"/>
    <s v="PROD004"/>
    <n v="3"/>
    <x v="1"/>
    <n v="950000"/>
    <n v="2850000"/>
    <n v="28000000"/>
  </r>
  <r>
    <s v="TXN-2025-364"/>
    <s v="2025-05-15"/>
    <x v="4"/>
    <x v="4"/>
    <s v="RINA marlina"/>
    <s v="Rina Marlina"/>
    <x v="0"/>
    <s v="PROD004"/>
    <n v="2"/>
    <x v="1"/>
    <n v="950000"/>
    <n v="1900000"/>
    <n v="28000000"/>
  </r>
  <r>
    <s v="TXN-2025-365"/>
    <s v="2025-05-15"/>
    <x v="4"/>
    <x v="4"/>
    <s v=" mega utami "/>
    <s v="Mega Utami"/>
    <x v="1"/>
    <s v="PROD010"/>
    <n v="2"/>
    <x v="0"/>
    <n v="350000"/>
    <n v="700000"/>
    <n v="21000000"/>
  </r>
  <r>
    <s v="TXN-2025-366"/>
    <s v="2025-05-16"/>
    <x v="4"/>
    <x v="4"/>
    <s v="  DEWI lestari  "/>
    <s v="Dewi Lestari"/>
    <x v="0"/>
    <s v="PROD002"/>
    <n v="3"/>
    <x v="2"/>
    <n v="4500000"/>
    <n v="13500000"/>
    <n v="70000000"/>
  </r>
  <r>
    <s v="TXN-2025-367"/>
    <s v="2025-05-16"/>
    <x v="4"/>
    <x v="4"/>
    <s v="  budi santoso  "/>
    <s v="Budi Santoso"/>
    <x v="0"/>
    <s v="PROD009"/>
    <n v="1"/>
    <x v="1"/>
    <n v="650000"/>
    <n v="650000"/>
    <n v="28000000"/>
  </r>
  <r>
    <s v="TXN-2025-368"/>
    <s v="2025-05-16"/>
    <x v="4"/>
    <x v="4"/>
    <s v="  budi santoso  "/>
    <s v="Budi Santoso"/>
    <x v="4"/>
    <s v="PROD008"/>
    <n v="1"/>
    <x v="2"/>
    <n v="250000"/>
    <n v="250000"/>
    <n v="70000000"/>
  </r>
  <r>
    <s v="TXN-2025-369"/>
    <s v="2025-05-17"/>
    <x v="4"/>
    <x v="4"/>
    <s v="Eko Prasetyo"/>
    <s v="Eko Prasetyo"/>
    <x v="1"/>
    <s v="PROD009"/>
    <n v="1"/>
    <x v="1"/>
    <n v="650000"/>
    <n v="650000"/>
    <n v="28000000"/>
  </r>
  <r>
    <s v="TXN-2025-370"/>
    <s v="2025-05-17"/>
    <x v="4"/>
    <x v="4"/>
    <s v="  siti RAHMA  "/>
    <s v="Siti Rahma"/>
    <x v="1"/>
    <s v="PROD006"/>
    <n v="1"/>
    <x v="0"/>
    <n v="280000"/>
    <n v="280000"/>
    <n v="21000000"/>
  </r>
  <r>
    <s v="TXN-2025-371"/>
    <s v="2025-05-18"/>
    <x v="4"/>
    <x v="4"/>
    <s v="  DEWI lestari  "/>
    <s v="Dewi Lestari"/>
    <x v="3"/>
    <s v="PROD002"/>
    <n v="1"/>
    <x v="2"/>
    <n v="4500000"/>
    <n v="4500000"/>
    <n v="70000000"/>
  </r>
  <r>
    <s v="TXN-2025-372"/>
    <s v="2025-05-19"/>
    <x v="4"/>
    <x v="4"/>
    <s v="  siti RAHMA  "/>
    <s v="Siti Rahma"/>
    <x v="3"/>
    <s v="PROD010"/>
    <n v="1"/>
    <x v="0"/>
    <n v="350000"/>
    <n v="350000"/>
    <n v="21000000"/>
  </r>
  <r>
    <s v="TXN-2025-373"/>
    <s v="2025-05-19"/>
    <x v="4"/>
    <x v="4"/>
    <s v="Bambang H."/>
    <s v="Bambang H."/>
    <x v="2"/>
    <s v="PROD002"/>
    <n v="1"/>
    <x v="2"/>
    <n v="4500000"/>
    <n v="4500000"/>
    <n v="70000000"/>
  </r>
  <r>
    <s v="TXN-2025-374"/>
    <s v="2025-05-20"/>
    <x v="4"/>
    <x v="4"/>
    <s v="Ahmad Fauzi"/>
    <s v="Ahmad Fauzi"/>
    <x v="3"/>
    <s v="PROD001"/>
    <n v="1"/>
    <x v="2"/>
    <n v="7500000"/>
    <n v="7500000"/>
    <n v="70000000"/>
  </r>
  <r>
    <s v="TXN-2025-375"/>
    <s v="2025-05-20"/>
    <x v="4"/>
    <x v="4"/>
    <s v=" mega utami "/>
    <s v="Mega Utami"/>
    <x v="4"/>
    <s v="PROD009"/>
    <n v="10"/>
    <x v="1"/>
    <n v="650000"/>
    <n v="6500000"/>
    <n v="28000000"/>
  </r>
  <r>
    <s v="TXN-2025-376"/>
    <s v="2025-05-21"/>
    <x v="4"/>
    <x v="4"/>
    <s v="Ahmad Fauzi"/>
    <s v="Ahmad Fauzi"/>
    <x v="0"/>
    <s v="PROD009"/>
    <n v="2"/>
    <x v="1"/>
    <n v="650000"/>
    <n v="1300000"/>
    <n v="28000000"/>
  </r>
  <r>
    <s v="TXN-2025-377"/>
    <s v="2025-05-21"/>
    <x v="4"/>
    <x v="4"/>
    <s v="  budi santoso  "/>
    <s v="Budi Santoso"/>
    <x v="1"/>
    <s v="PROD004"/>
    <n v="1"/>
    <x v="1"/>
    <n v="950000"/>
    <n v="950000"/>
    <n v="28000000"/>
  </r>
  <r>
    <s v="TXN-2025-378"/>
    <s v="2025-05-22"/>
    <x v="4"/>
    <x v="4"/>
    <s v="RINA marlina"/>
    <s v="Rina Marlina"/>
    <x v="0"/>
    <s v="PROD010"/>
    <n v="2"/>
    <x v="0"/>
    <n v="350000"/>
    <n v="700000"/>
    <n v="21000000"/>
  </r>
  <r>
    <s v="TXN-2025-379"/>
    <s v="2025-05-22"/>
    <x v="4"/>
    <x v="4"/>
    <s v="RINA marlina"/>
    <s v="Rina Marlina"/>
    <x v="4"/>
    <s v="PROD009"/>
    <n v="1"/>
    <x v="1"/>
    <n v="650000"/>
    <n v="650000"/>
    <n v="28000000"/>
  </r>
  <r>
    <s v="TXN-2025-380"/>
    <s v="2025-05-23"/>
    <x v="4"/>
    <x v="4"/>
    <s v="  siti RAHMA  "/>
    <s v="Siti Rahma"/>
    <x v="0"/>
    <s v="PROD003"/>
    <n v="5"/>
    <x v="1"/>
    <n v="1200000"/>
    <n v="6000000"/>
    <n v="28000000"/>
  </r>
  <r>
    <s v="TXN-2025-381"/>
    <s v="2025-05-23"/>
    <x v="4"/>
    <x v="4"/>
    <s v="Ahmad Fauzi"/>
    <s v="Ahmad Fauzi"/>
    <x v="1"/>
    <s v="PROD003"/>
    <n v="3"/>
    <x v="1"/>
    <n v="1200000"/>
    <n v="3600000"/>
    <n v="28000000"/>
  </r>
  <r>
    <s v="TXN-2025-382"/>
    <s v="2025-05-23"/>
    <x v="4"/>
    <x v="4"/>
    <s v="  budi santoso  "/>
    <s v="Budi Santoso"/>
    <x v="3"/>
    <s v="PROD006"/>
    <n v="1"/>
    <x v="0"/>
    <n v="280000"/>
    <n v="280000"/>
    <n v="21000000"/>
  </r>
  <r>
    <s v="TXN-2025-383"/>
    <s v="2025-05-24"/>
    <x v="4"/>
    <x v="4"/>
    <s v="Eko Prasetyo"/>
    <s v="Eko Prasetyo"/>
    <x v="2"/>
    <s v="PROD009"/>
    <n v="2"/>
    <x v="1"/>
    <n v="650000"/>
    <n v="1300000"/>
    <n v="28000000"/>
  </r>
  <r>
    <s v="TXN-2025-384"/>
    <s v="2025-05-24"/>
    <x v="4"/>
    <x v="4"/>
    <s v="  Sari Yuliana  "/>
    <s v="Sari Yuliana"/>
    <x v="1"/>
    <s v="PROD008"/>
    <n v="4"/>
    <x v="2"/>
    <n v="250000"/>
    <n v="1000000"/>
    <n v="70000000"/>
  </r>
  <r>
    <s v="TXN-2025-385"/>
    <s v="2025-05-24"/>
    <x v="4"/>
    <x v="4"/>
    <s v="Ahmad Fauzi"/>
    <s v="Ahmad Fauzi"/>
    <x v="1"/>
    <s v="PROD002"/>
    <n v="5"/>
    <x v="2"/>
    <n v="4500000"/>
    <n v="22500000"/>
    <n v="70000000"/>
  </r>
  <r>
    <s v="TXN-2025-386"/>
    <s v="2025-05-24"/>
    <x v="4"/>
    <x v="4"/>
    <s v="  siti RAHMA  "/>
    <s v="Siti Rahma"/>
    <x v="1"/>
    <s v="PROD004"/>
    <n v="2"/>
    <x v="1"/>
    <n v="950000"/>
    <n v="1900000"/>
    <n v="28000000"/>
  </r>
  <r>
    <s v="TXN-2025-387"/>
    <s v="2025-05-24"/>
    <x v="4"/>
    <x v="4"/>
    <s v=" mega utami "/>
    <s v="Mega Utami"/>
    <x v="1"/>
    <s v="PROD010"/>
    <n v="2"/>
    <x v="0"/>
    <n v="350000"/>
    <n v="700000"/>
    <n v="21000000"/>
  </r>
  <r>
    <s v="TXN-2025-388"/>
    <s v="2025-05-24"/>
    <x v="4"/>
    <x v="4"/>
    <s v="  siti RAHMA  "/>
    <s v="Siti Rahma"/>
    <x v="4"/>
    <s v="PROD008"/>
    <n v="1"/>
    <x v="2"/>
    <n v="250000"/>
    <n v="250000"/>
    <n v="70000000"/>
  </r>
  <r>
    <s v="TXN-2025-389"/>
    <s v="2025-05-24"/>
    <x v="4"/>
    <x v="4"/>
    <s v="  budi santoso  "/>
    <s v="Budi Santoso"/>
    <x v="1"/>
    <s v="PROD002"/>
    <n v="10"/>
    <x v="2"/>
    <n v="4500000"/>
    <n v="45000000"/>
    <n v="70000000"/>
  </r>
  <r>
    <s v="TXN-2025-390"/>
    <s v="2025-05-25"/>
    <x v="4"/>
    <x v="4"/>
    <s v="  DEWI lestari  "/>
    <s v="Dewi Lestari"/>
    <x v="0"/>
    <s v="PROD009"/>
    <n v="1"/>
    <x v="1"/>
    <n v="650000"/>
    <n v="650000"/>
    <n v="28000000"/>
  </r>
  <r>
    <s v="TXN-2025-391"/>
    <s v="2025-05-25"/>
    <x v="4"/>
    <x v="4"/>
    <s v="Eko Prasetyo"/>
    <s v="Eko Prasetyo"/>
    <x v="4"/>
    <s v="PROD008"/>
    <n v="5"/>
    <x v="2"/>
    <n v="250000"/>
    <n v="1250000"/>
    <n v="70000000"/>
  </r>
  <r>
    <s v="TXN-2025-392"/>
    <s v="2025-05-25"/>
    <x v="4"/>
    <x v="4"/>
    <s v="  budi santoso  "/>
    <s v="Budi Santoso"/>
    <x v="3"/>
    <s v="PROD001"/>
    <n v="2"/>
    <x v="2"/>
    <n v="7500000"/>
    <n v="15000000"/>
    <n v="70000000"/>
  </r>
  <r>
    <s v="TXN-2025-393"/>
    <s v="2025-05-25"/>
    <x v="4"/>
    <x v="4"/>
    <s v="Eko Prasetyo"/>
    <s v="Eko Prasetyo"/>
    <x v="0"/>
    <s v="PROD008"/>
    <n v="2"/>
    <x v="2"/>
    <n v="250000"/>
    <n v="500000"/>
    <n v="70000000"/>
  </r>
  <r>
    <s v="TXN-2025-394"/>
    <s v="2025-05-25"/>
    <x v="4"/>
    <x v="4"/>
    <s v="andi WIJAYA"/>
    <s v="Andi Wijaya"/>
    <x v="0"/>
    <s v="PROD003"/>
    <n v="2"/>
    <x v="1"/>
    <n v="1200000"/>
    <n v="2400000"/>
    <n v="28000000"/>
  </r>
  <r>
    <s v="TXN-2025-395"/>
    <s v="2025-05-26"/>
    <x v="4"/>
    <x v="4"/>
    <s v="andi WIJAYA"/>
    <s v="Andi Wijaya"/>
    <x v="0"/>
    <s v="PROD009"/>
    <n v="1"/>
    <x v="1"/>
    <n v="650000"/>
    <n v="650000"/>
    <n v="28000000"/>
  </r>
  <r>
    <s v="TXN-2025-396"/>
    <s v="2025-05-26"/>
    <x v="4"/>
    <x v="4"/>
    <s v="RINA marlina"/>
    <s v="Rina Marlina"/>
    <x v="0"/>
    <s v="PROD007"/>
    <n v="1"/>
    <x v="2"/>
    <n v="1800000"/>
    <n v="1800000"/>
    <n v="70000000"/>
  </r>
  <r>
    <s v="TXN-2025-397"/>
    <s v="2025-05-26"/>
    <x v="4"/>
    <x v="4"/>
    <s v="Eko Prasetyo"/>
    <s v="Eko Prasetyo"/>
    <x v="4"/>
    <s v="PROD008"/>
    <n v="1"/>
    <x v="2"/>
    <n v="250000"/>
    <n v="250000"/>
    <n v="70000000"/>
  </r>
  <r>
    <s v="TXN-2025-398"/>
    <s v="2025-05-27"/>
    <x v="4"/>
    <x v="4"/>
    <s v="Ahmad Fauzi"/>
    <s v="Ahmad Fauzi"/>
    <x v="3"/>
    <s v="PROD010"/>
    <n v="1"/>
    <x v="0"/>
    <n v="350000"/>
    <n v="350000"/>
    <n v="21000000"/>
  </r>
  <r>
    <s v="TXN-2025-399"/>
    <s v="2025-05-27"/>
    <x v="4"/>
    <x v="4"/>
    <s v=" mega utami "/>
    <s v="Mega Utami"/>
    <x v="3"/>
    <s v="PROD001"/>
    <n v="3"/>
    <x v="2"/>
    <n v="7500000"/>
    <n v="22500000"/>
    <n v="70000000"/>
  </r>
  <r>
    <s v="TXN-2025-400"/>
    <s v="2025-05-27"/>
    <x v="4"/>
    <x v="4"/>
    <s v="  Sari Yuliana  "/>
    <s v="Sari Yuliana"/>
    <x v="1"/>
    <s v="PROD009"/>
    <n v="1"/>
    <x v="1"/>
    <n v="650000"/>
    <n v="650000"/>
    <n v="28000000"/>
  </r>
  <r>
    <s v="TXN-2025-401"/>
    <s v="2025-05-27"/>
    <x v="4"/>
    <x v="4"/>
    <s v="  siti RAHMA  "/>
    <s v="Siti Rahma"/>
    <x v="2"/>
    <s v="PROD008"/>
    <n v="1"/>
    <x v="2"/>
    <n v="250000"/>
    <n v="250000"/>
    <n v="70000000"/>
  </r>
  <r>
    <s v="TXN-2025-402"/>
    <s v="2025-05-27"/>
    <x v="4"/>
    <x v="4"/>
    <s v="andi WIJAYA"/>
    <s v="Andi Wijaya"/>
    <x v="4"/>
    <s v="PROD005"/>
    <n v="5"/>
    <x v="0"/>
    <n v="250000"/>
    <n v="1250000"/>
    <n v="21000000"/>
  </r>
  <r>
    <s v="TXN-2025-403"/>
    <s v="2025-05-27"/>
    <x v="4"/>
    <x v="4"/>
    <s v="  siti RAHMA  "/>
    <s v="Siti Rahma"/>
    <x v="3"/>
    <s v="PROD001"/>
    <n v="4"/>
    <x v="2"/>
    <n v="7500000"/>
    <n v="30000000"/>
    <n v="70000000"/>
  </r>
  <r>
    <s v="TXN-2025-404"/>
    <s v="2025-05-28"/>
    <x v="4"/>
    <x v="4"/>
    <s v="  siti RAHMA  "/>
    <s v="Siti Rahma"/>
    <x v="4"/>
    <s v="PROD007"/>
    <n v="4"/>
    <x v="2"/>
    <n v="1800000"/>
    <n v="7200000"/>
    <n v="70000000"/>
  </r>
  <r>
    <s v="TXN-2025-405"/>
    <s v="2025-05-28"/>
    <x v="4"/>
    <x v="4"/>
    <s v=" mega utami "/>
    <s v="Mega Utami"/>
    <x v="4"/>
    <s v="PROD005"/>
    <n v="10"/>
    <x v="0"/>
    <n v="250000"/>
    <n v="2500000"/>
    <n v="21000000"/>
  </r>
  <r>
    <s v="TXN-2025-406"/>
    <s v="2025-05-28"/>
    <x v="4"/>
    <x v="4"/>
    <s v="  budi santoso  "/>
    <s v="Budi Santoso"/>
    <x v="1"/>
    <s v="PROD001"/>
    <n v="1"/>
    <x v="2"/>
    <n v="7500000"/>
    <n v="7500000"/>
    <n v="70000000"/>
  </r>
  <r>
    <s v="TXN-2025-407"/>
    <s v="2025-05-29"/>
    <x v="4"/>
    <x v="4"/>
    <s v="  siti RAHMA  "/>
    <s v="Siti Rahma"/>
    <x v="3"/>
    <s v="PROD004"/>
    <n v="1"/>
    <x v="1"/>
    <n v="950000"/>
    <n v="950000"/>
    <n v="28000000"/>
  </r>
  <r>
    <s v="TXN-2025-408"/>
    <s v="2025-05-30"/>
    <x v="4"/>
    <x v="4"/>
    <s v="Eko Prasetyo"/>
    <s v="Eko Prasetyo"/>
    <x v="2"/>
    <s v="PROD010"/>
    <n v="3"/>
    <x v="0"/>
    <n v="350000"/>
    <n v="1050000"/>
    <n v="21000000"/>
  </r>
  <r>
    <s v="TXN-2025-409"/>
    <s v="2025-05-30"/>
    <x v="4"/>
    <x v="4"/>
    <s v=" mega utami "/>
    <s v="Mega Utami"/>
    <x v="2"/>
    <s v="PROD002"/>
    <n v="2"/>
    <x v="2"/>
    <n v="4500000"/>
    <n v="9000000"/>
    <n v="70000000"/>
  </r>
  <r>
    <s v="TXN-2025-410"/>
    <s v="2025-05-30"/>
    <x v="4"/>
    <x v="4"/>
    <s v="andi WIJAYA"/>
    <s v="Andi Wijaya"/>
    <x v="2"/>
    <s v="PROD001"/>
    <n v="1"/>
    <x v="2"/>
    <n v="7500000"/>
    <n v="7500000"/>
    <n v="70000000"/>
  </r>
  <r>
    <s v="TXN-2025-411"/>
    <s v="2025-05-31"/>
    <x v="4"/>
    <x v="4"/>
    <s v="  DEWI lestari  "/>
    <s v="Dewi Lestari"/>
    <x v="0"/>
    <s v="PROD007"/>
    <n v="3"/>
    <x v="2"/>
    <n v="1800000"/>
    <n v="5400000"/>
    <n v="70000000"/>
  </r>
  <r>
    <s v="TXN-2025-412"/>
    <s v="2025-05-31"/>
    <x v="4"/>
    <x v="4"/>
    <s v="  siti RAHMA  "/>
    <s v="Siti Rahma"/>
    <x v="3"/>
    <s v="PROD006"/>
    <n v="1"/>
    <x v="0"/>
    <n v="280000"/>
    <n v="280000"/>
    <n v="21000000"/>
  </r>
  <r>
    <s v="TXN-2025-413"/>
    <s v="2025-05-31"/>
    <x v="4"/>
    <x v="4"/>
    <s v="RINA marlina"/>
    <s v="Rina Marlina"/>
    <x v="0"/>
    <s v="PROD002"/>
    <n v="1"/>
    <x v="2"/>
    <n v="4500000"/>
    <n v="4500000"/>
    <n v="70000000"/>
  </r>
  <r>
    <s v="TXN-2025-414"/>
    <s v="2025-05-31"/>
    <x v="4"/>
    <x v="4"/>
    <s v=" mega utami "/>
    <s v="Mega Utami"/>
    <x v="0"/>
    <s v="PROD009"/>
    <n v="2"/>
    <x v="1"/>
    <n v="650000"/>
    <n v="1300000"/>
    <n v="28000000"/>
  </r>
  <r>
    <s v="TXN-2025-415"/>
    <s v="2025-05-31"/>
    <x v="4"/>
    <x v="4"/>
    <s v="  budi santoso  "/>
    <s v="Budi Santoso"/>
    <x v="0"/>
    <s v="PROD001"/>
    <n v="2"/>
    <x v="2"/>
    <n v="7500000"/>
    <n v="15000000"/>
    <n v="70000000"/>
  </r>
  <r>
    <s v="TXN-2025-416"/>
    <s v="2025-06-01"/>
    <x v="5"/>
    <x v="5"/>
    <s v="Bambang H."/>
    <s v="Bambang H."/>
    <x v="1"/>
    <s v="PROD002"/>
    <n v="2"/>
    <x v="2"/>
    <n v="4500000"/>
    <n v="9000000"/>
    <n v="75000000"/>
  </r>
  <r>
    <s v="TXN-2025-417"/>
    <s v="2025-06-01"/>
    <x v="5"/>
    <x v="5"/>
    <s v="andi WIJAYA"/>
    <s v="Andi Wijaya"/>
    <x v="1"/>
    <s v="PROD008"/>
    <n v="1"/>
    <x v="2"/>
    <n v="250000"/>
    <n v="250000"/>
    <n v="75000000"/>
  </r>
  <r>
    <s v="TXN-2025-418"/>
    <s v="2025-06-01"/>
    <x v="5"/>
    <x v="5"/>
    <s v="andi WIJAYA"/>
    <s v="Andi Wijaya"/>
    <x v="4"/>
    <s v="PROD001"/>
    <n v="4"/>
    <x v="2"/>
    <n v="7500000"/>
    <n v="30000000"/>
    <n v="75000000"/>
  </r>
  <r>
    <s v="TXN-2025-419"/>
    <s v="2025-06-01"/>
    <x v="5"/>
    <x v="5"/>
    <s v="Bambang H."/>
    <s v="Bambang H."/>
    <x v="4"/>
    <s v="PROD005"/>
    <n v="1"/>
    <x v="0"/>
    <n v="250000"/>
    <n v="250000"/>
    <n v="22500000"/>
  </r>
  <r>
    <s v="TXN-2025-420"/>
    <s v="2025-06-01"/>
    <x v="5"/>
    <x v="5"/>
    <s v="Eko Prasetyo"/>
    <s v="Eko Prasetyo"/>
    <x v="3"/>
    <s v="PROD007"/>
    <n v="1"/>
    <x v="2"/>
    <n v="1800000"/>
    <n v="1800000"/>
    <n v="75000000"/>
  </r>
  <r>
    <s v="TXN-2025-421"/>
    <s v="2025-06-01"/>
    <x v="5"/>
    <x v="5"/>
    <s v="  DEWI lestari  "/>
    <s v="Dewi Lestari"/>
    <x v="3"/>
    <s v="PROD003"/>
    <n v="4"/>
    <x v="1"/>
    <n v="1200000"/>
    <n v="4800000"/>
    <n v="30000000"/>
  </r>
  <r>
    <s v="TXN-2025-422"/>
    <s v="2025-06-02"/>
    <x v="5"/>
    <x v="5"/>
    <s v="andi WIJAYA"/>
    <s v="Andi Wijaya"/>
    <x v="1"/>
    <s v="PROD003"/>
    <n v="5"/>
    <x v="1"/>
    <n v="1200000"/>
    <n v="6000000"/>
    <n v="30000000"/>
  </r>
  <r>
    <s v="TXN-2025-423"/>
    <s v="2025-06-02"/>
    <x v="5"/>
    <x v="5"/>
    <s v="andi WIJAYA"/>
    <s v="Andi Wijaya"/>
    <x v="4"/>
    <s v="PROD007"/>
    <n v="4"/>
    <x v="2"/>
    <n v="1800000"/>
    <n v="7200000"/>
    <n v="75000000"/>
  </r>
  <r>
    <s v="TXN-2025-424"/>
    <s v="2025-06-03"/>
    <x v="5"/>
    <x v="5"/>
    <s v="  budi santoso  "/>
    <s v="Budi Santoso"/>
    <x v="4"/>
    <s v="PROD006"/>
    <n v="3"/>
    <x v="0"/>
    <n v="280000"/>
    <n v="840000"/>
    <n v="22500000"/>
  </r>
  <r>
    <s v="TXN-2025-425"/>
    <s v="2025-06-03"/>
    <x v="5"/>
    <x v="5"/>
    <s v="andi WIJAYA"/>
    <s v="Andi Wijaya"/>
    <x v="0"/>
    <s v="PROD007"/>
    <n v="2"/>
    <x v="2"/>
    <n v="1800000"/>
    <n v="3600000"/>
    <n v="75000000"/>
  </r>
  <r>
    <s v="TXN-2025-426"/>
    <s v="2025-06-03"/>
    <x v="5"/>
    <x v="5"/>
    <s v=" mega utami "/>
    <s v="Mega Utami"/>
    <x v="2"/>
    <s v="PROD008"/>
    <n v="2"/>
    <x v="2"/>
    <n v="250000"/>
    <n v="500000"/>
    <n v="75000000"/>
  </r>
  <r>
    <s v="TXN-2025-427"/>
    <s v="2025-06-04"/>
    <x v="5"/>
    <x v="5"/>
    <s v="Eko Prasetyo"/>
    <s v="Eko Prasetyo"/>
    <x v="2"/>
    <s v="PROD007"/>
    <n v="1"/>
    <x v="2"/>
    <n v="1800000"/>
    <n v="1800000"/>
    <n v="75000000"/>
  </r>
  <r>
    <s v="TXN-2025-428"/>
    <s v="2025-06-04"/>
    <x v="5"/>
    <x v="5"/>
    <s v="  DEWI lestari  "/>
    <s v="Dewi Lestari"/>
    <x v="2"/>
    <s v="PROD007"/>
    <n v="2"/>
    <x v="2"/>
    <n v="1800000"/>
    <n v="3600000"/>
    <n v="75000000"/>
  </r>
  <r>
    <s v="TXN-2025-429"/>
    <s v="2025-06-05"/>
    <x v="5"/>
    <x v="5"/>
    <s v="RINA marlina"/>
    <s v="Rina Marlina"/>
    <x v="1"/>
    <s v="PROD002"/>
    <n v="1"/>
    <x v="2"/>
    <n v="4500000"/>
    <n v="4500000"/>
    <n v="75000000"/>
  </r>
  <r>
    <s v="TXN-2025-430"/>
    <s v="2025-06-06"/>
    <x v="5"/>
    <x v="5"/>
    <s v="  DEWI lestari  "/>
    <s v="Dewi Lestari"/>
    <x v="2"/>
    <s v="PROD009"/>
    <n v="1"/>
    <x v="1"/>
    <n v="650000"/>
    <n v="650000"/>
    <n v="30000000"/>
  </r>
  <r>
    <s v="TXN-2025-431"/>
    <s v="2025-06-07"/>
    <x v="5"/>
    <x v="5"/>
    <s v="Eko Prasetyo"/>
    <s v="Eko Prasetyo"/>
    <x v="2"/>
    <s v="PROD003"/>
    <n v="3"/>
    <x v="1"/>
    <n v="1200000"/>
    <n v="3600000"/>
    <n v="30000000"/>
  </r>
  <r>
    <s v="TXN-2025-432"/>
    <s v="2025-06-07"/>
    <x v="5"/>
    <x v="5"/>
    <s v="Ahmad Fauzi"/>
    <s v="Ahmad Fauzi"/>
    <x v="0"/>
    <s v="PROD006"/>
    <n v="2"/>
    <x v="0"/>
    <n v="280000"/>
    <n v="560000"/>
    <n v="22500000"/>
  </r>
  <r>
    <s v="TXN-2025-433"/>
    <s v="2025-06-07"/>
    <x v="5"/>
    <x v="5"/>
    <s v=" mega utami "/>
    <s v="Mega Utami"/>
    <x v="3"/>
    <s v="PROD002"/>
    <n v="1"/>
    <x v="2"/>
    <n v="4500000"/>
    <n v="4500000"/>
    <n v="75000000"/>
  </r>
  <r>
    <s v="TXN-2025-434"/>
    <s v="2025-06-09"/>
    <x v="5"/>
    <x v="5"/>
    <s v="Ahmad Fauzi"/>
    <s v="Ahmad Fauzi"/>
    <x v="1"/>
    <s v="PROD003"/>
    <n v="1"/>
    <x v="1"/>
    <n v="1200000"/>
    <n v="1200000"/>
    <n v="30000000"/>
  </r>
  <r>
    <s v="TXN-2025-435"/>
    <s v="2025-06-09"/>
    <x v="5"/>
    <x v="5"/>
    <s v="Eko Prasetyo"/>
    <s v="Eko Prasetyo"/>
    <x v="4"/>
    <s v="PROD009"/>
    <n v="2"/>
    <x v="1"/>
    <n v="650000"/>
    <n v="1300000"/>
    <n v="30000000"/>
  </r>
  <r>
    <s v="TXN-2025-436"/>
    <s v="2025-06-09"/>
    <x v="5"/>
    <x v="5"/>
    <s v="  budi santoso  "/>
    <s v="Budi Santoso"/>
    <x v="0"/>
    <s v="PROD007"/>
    <n v="1"/>
    <x v="2"/>
    <n v="1800000"/>
    <n v="1800000"/>
    <n v="75000000"/>
  </r>
  <r>
    <s v="TXN-2025-437"/>
    <s v="2025-06-09"/>
    <x v="5"/>
    <x v="5"/>
    <s v="RINA marlina"/>
    <s v="Rina Marlina"/>
    <x v="2"/>
    <s v="PROD009"/>
    <n v="4"/>
    <x v="1"/>
    <n v="650000"/>
    <n v="2600000"/>
    <n v="30000000"/>
  </r>
  <r>
    <s v="TXN-2025-438"/>
    <s v="2025-06-09"/>
    <x v="5"/>
    <x v="5"/>
    <s v="  DEWI lestari  "/>
    <s v="Dewi Lestari"/>
    <x v="4"/>
    <s v="PROD003"/>
    <n v="2"/>
    <x v="1"/>
    <n v="1200000"/>
    <n v="2400000"/>
    <n v="30000000"/>
  </r>
  <r>
    <s v="TXN-2025-439"/>
    <s v="2025-06-09"/>
    <x v="5"/>
    <x v="5"/>
    <s v="  siti RAHMA  "/>
    <s v="Siti Rahma"/>
    <x v="0"/>
    <s v="PROD004"/>
    <n v="2"/>
    <x v="1"/>
    <n v="950000"/>
    <n v="1900000"/>
    <n v="30000000"/>
  </r>
  <r>
    <s v="TXN-2025-440"/>
    <s v="2025-06-09"/>
    <x v="5"/>
    <x v="5"/>
    <s v="  Sari Yuliana  "/>
    <s v="Sari Yuliana"/>
    <x v="1"/>
    <s v="PROD001"/>
    <n v="2"/>
    <x v="2"/>
    <n v="7500000"/>
    <n v="15000000"/>
    <n v="75000000"/>
  </r>
  <r>
    <s v="TXN-2025-441"/>
    <s v="2025-06-10"/>
    <x v="5"/>
    <x v="5"/>
    <s v="  DEWI lestari  "/>
    <s v="Dewi Lestari"/>
    <x v="2"/>
    <s v="PROD001"/>
    <n v="3"/>
    <x v="2"/>
    <n v="7500000"/>
    <n v="22500000"/>
    <n v="75000000"/>
  </r>
  <r>
    <s v="TXN-2025-442"/>
    <s v="2025-06-10"/>
    <x v="5"/>
    <x v="5"/>
    <s v="  budi santoso  "/>
    <s v="Budi Santoso"/>
    <x v="1"/>
    <s v="PROD005"/>
    <n v="1"/>
    <x v="0"/>
    <n v="250000"/>
    <n v="250000"/>
    <n v="22500000"/>
  </r>
  <r>
    <s v="TXN-2025-443"/>
    <s v="2025-06-10"/>
    <x v="5"/>
    <x v="5"/>
    <s v="RINA marlina"/>
    <s v="Rina Marlina"/>
    <x v="0"/>
    <s v="PROD008"/>
    <n v="2"/>
    <x v="2"/>
    <n v="250000"/>
    <n v="500000"/>
    <n v="75000000"/>
  </r>
  <r>
    <s v="TXN-2025-444"/>
    <s v="2025-06-10"/>
    <x v="5"/>
    <x v="5"/>
    <s v="  Sari Yuliana  "/>
    <s v="Sari Yuliana"/>
    <x v="4"/>
    <s v="PROD009"/>
    <n v="2"/>
    <x v="1"/>
    <n v="650000"/>
    <n v="1300000"/>
    <n v="30000000"/>
  </r>
  <r>
    <s v="TXN-2025-445"/>
    <s v="2025-06-11"/>
    <x v="5"/>
    <x v="5"/>
    <s v=" mega utami "/>
    <s v="Mega Utami"/>
    <x v="3"/>
    <s v="PROD007"/>
    <n v="1"/>
    <x v="2"/>
    <n v="1800000"/>
    <n v="1800000"/>
    <n v="75000000"/>
  </r>
  <r>
    <s v="TXN-2025-446"/>
    <s v="2025-06-11"/>
    <x v="5"/>
    <x v="5"/>
    <s v="Eko Prasetyo"/>
    <s v="Eko Prasetyo"/>
    <x v="2"/>
    <s v="PROD009"/>
    <n v="4"/>
    <x v="1"/>
    <n v="650000"/>
    <n v="2600000"/>
    <n v="30000000"/>
  </r>
  <r>
    <s v="TXN-2025-447"/>
    <s v="2025-06-12"/>
    <x v="5"/>
    <x v="5"/>
    <s v="Eko Prasetyo"/>
    <s v="Eko Prasetyo"/>
    <x v="1"/>
    <s v="PROD007"/>
    <n v="3"/>
    <x v="2"/>
    <n v="1800000"/>
    <n v="5400000"/>
    <n v="75000000"/>
  </r>
  <r>
    <s v="TXN-2025-448"/>
    <s v="2025-06-12"/>
    <x v="5"/>
    <x v="5"/>
    <s v=" mega utami "/>
    <s v="Mega Utami"/>
    <x v="4"/>
    <s v="PROD004"/>
    <n v="2"/>
    <x v="1"/>
    <n v="950000"/>
    <n v="1900000"/>
    <n v="30000000"/>
  </r>
  <r>
    <s v="TXN-2025-449"/>
    <s v="2025-06-12"/>
    <x v="5"/>
    <x v="5"/>
    <s v="  Sari Yuliana  "/>
    <s v="Sari Yuliana"/>
    <x v="4"/>
    <s v="PROD004"/>
    <n v="4"/>
    <x v="1"/>
    <n v="950000"/>
    <n v="3800000"/>
    <n v="30000000"/>
  </r>
  <r>
    <s v="TXN-2025-450"/>
    <s v="2025-06-12"/>
    <x v="5"/>
    <x v="5"/>
    <s v="Ahmad Fauzi"/>
    <s v="Ahmad Fauzi"/>
    <x v="3"/>
    <s v="PROD008"/>
    <n v="4"/>
    <x v="2"/>
    <n v="250000"/>
    <n v="1000000"/>
    <n v="75000000"/>
  </r>
  <r>
    <s v="TXN-2025-451"/>
    <s v="2025-06-13"/>
    <x v="5"/>
    <x v="5"/>
    <s v="RINA marlina"/>
    <s v="Rina Marlina"/>
    <x v="0"/>
    <s v="PROD006"/>
    <n v="3"/>
    <x v="0"/>
    <n v="280000"/>
    <n v="840000"/>
    <n v="22500000"/>
  </r>
  <r>
    <s v="TXN-2025-452"/>
    <s v="2025-06-13"/>
    <x v="5"/>
    <x v="5"/>
    <s v=" mega utami "/>
    <s v="Mega Utami"/>
    <x v="3"/>
    <s v="PROD003"/>
    <n v="3"/>
    <x v="1"/>
    <n v="1200000"/>
    <n v="3600000"/>
    <n v="30000000"/>
  </r>
  <r>
    <s v="TXN-2025-453"/>
    <s v="2025-06-13"/>
    <x v="5"/>
    <x v="5"/>
    <s v="  Sari Yuliana  "/>
    <s v="Sari Yuliana"/>
    <x v="3"/>
    <s v="PROD005"/>
    <n v="2"/>
    <x v="0"/>
    <n v="250000"/>
    <n v="500000"/>
    <n v="22500000"/>
  </r>
  <r>
    <s v="TXN-2025-454"/>
    <s v="2025-06-14"/>
    <x v="5"/>
    <x v="5"/>
    <s v="andi WIJAYA"/>
    <s v="Andi Wijaya"/>
    <x v="0"/>
    <s v="PROD004"/>
    <n v="2"/>
    <x v="1"/>
    <n v="950000"/>
    <n v="1900000"/>
    <n v="30000000"/>
  </r>
  <r>
    <s v="TXN-2025-455"/>
    <s v="2025-06-14"/>
    <x v="5"/>
    <x v="5"/>
    <s v="  DEWI lestari  "/>
    <s v="Dewi Lestari"/>
    <x v="0"/>
    <s v="PROD002"/>
    <n v="2"/>
    <x v="2"/>
    <n v="4500000"/>
    <n v="9000000"/>
    <n v="75000000"/>
  </r>
  <r>
    <s v="TXN-2025-456"/>
    <s v="2025-06-14"/>
    <x v="5"/>
    <x v="5"/>
    <s v="  budi santoso  "/>
    <s v="Budi Santoso"/>
    <x v="0"/>
    <s v="PROD001"/>
    <n v="3"/>
    <x v="2"/>
    <n v="7500000"/>
    <n v="22500000"/>
    <n v="75000000"/>
  </r>
  <r>
    <s v="TXN-2025-457"/>
    <s v="2025-06-15"/>
    <x v="5"/>
    <x v="5"/>
    <s v=" mega utami "/>
    <s v="Mega Utami"/>
    <x v="4"/>
    <s v="PROD007"/>
    <n v="1"/>
    <x v="2"/>
    <n v="1800000"/>
    <n v="1800000"/>
    <n v="75000000"/>
  </r>
  <r>
    <s v="TXN-2025-458"/>
    <s v="2025-06-16"/>
    <x v="5"/>
    <x v="5"/>
    <s v="  budi santoso  "/>
    <s v="Budi Santoso"/>
    <x v="4"/>
    <s v="PROD010"/>
    <n v="4"/>
    <x v="0"/>
    <n v="350000"/>
    <n v="1400000"/>
    <n v="22500000"/>
  </r>
  <r>
    <s v="TXN-2025-459"/>
    <s v="2025-06-16"/>
    <x v="5"/>
    <x v="5"/>
    <s v="Ahmad Fauzi"/>
    <s v="Ahmad Fauzi"/>
    <x v="2"/>
    <s v="PROD001"/>
    <n v="4"/>
    <x v="2"/>
    <n v="7500000"/>
    <n v="30000000"/>
    <n v="75000000"/>
  </r>
  <r>
    <s v="TXN-2025-460"/>
    <s v="2025-06-17"/>
    <x v="5"/>
    <x v="5"/>
    <s v="Ahmad Fauzi"/>
    <s v="Ahmad Fauzi"/>
    <x v="2"/>
    <s v="PROD004"/>
    <n v="1"/>
    <x v="1"/>
    <n v="950000"/>
    <n v="950000"/>
    <n v="30000000"/>
  </r>
  <r>
    <s v="TXN-2025-461"/>
    <s v="2025-06-17"/>
    <x v="5"/>
    <x v="5"/>
    <s v="andi WIJAYA"/>
    <s v="Andi Wijaya"/>
    <x v="3"/>
    <s v="PROD004"/>
    <n v="3"/>
    <x v="1"/>
    <n v="950000"/>
    <n v="2850000"/>
    <n v="30000000"/>
  </r>
  <r>
    <s v="TXN-2025-462"/>
    <s v="2025-06-18"/>
    <x v="5"/>
    <x v="5"/>
    <s v="Eko Prasetyo"/>
    <s v="Eko Prasetyo"/>
    <x v="3"/>
    <s v="PROD002"/>
    <n v="1"/>
    <x v="2"/>
    <n v="4500000"/>
    <n v="4500000"/>
    <n v="75000000"/>
  </r>
  <r>
    <s v="TXN-2025-463"/>
    <s v="2025-06-19"/>
    <x v="5"/>
    <x v="5"/>
    <s v=" mega utami "/>
    <s v="Mega Utami"/>
    <x v="2"/>
    <s v="PROD002"/>
    <n v="1"/>
    <x v="2"/>
    <n v="4500000"/>
    <n v="4500000"/>
    <n v="75000000"/>
  </r>
  <r>
    <s v="TXN-2025-464"/>
    <s v="2025-06-19"/>
    <x v="5"/>
    <x v="5"/>
    <s v="RINA marlina"/>
    <s v="Rina Marlina"/>
    <x v="1"/>
    <s v="PROD010"/>
    <n v="3"/>
    <x v="0"/>
    <n v="350000"/>
    <n v="1050000"/>
    <n v="22500000"/>
  </r>
  <r>
    <s v="TXN-2025-465"/>
    <s v="2025-06-19"/>
    <x v="5"/>
    <x v="5"/>
    <s v="Eko Prasetyo"/>
    <s v="Eko Prasetyo"/>
    <x v="3"/>
    <s v="PROD001"/>
    <n v="1"/>
    <x v="2"/>
    <n v="7500000"/>
    <n v="7500000"/>
    <n v="75000000"/>
  </r>
  <r>
    <s v="TXN-2025-466"/>
    <s v="2025-06-19"/>
    <x v="5"/>
    <x v="5"/>
    <s v="  Sari Yuliana  "/>
    <s v="Sari Yuliana"/>
    <x v="1"/>
    <s v="PROD008"/>
    <n v="3"/>
    <x v="2"/>
    <n v="250000"/>
    <n v="750000"/>
    <n v="75000000"/>
  </r>
  <r>
    <s v="TXN-2025-467"/>
    <s v="2025-06-19"/>
    <x v="5"/>
    <x v="5"/>
    <s v="Eko Prasetyo"/>
    <s v="Eko Prasetyo"/>
    <x v="1"/>
    <s v="PROD010"/>
    <n v="3"/>
    <x v="0"/>
    <n v="350000"/>
    <n v="1050000"/>
    <n v="22500000"/>
  </r>
  <r>
    <s v="TXN-2025-468"/>
    <s v="2025-06-19"/>
    <x v="5"/>
    <x v="5"/>
    <s v="RINA marlina"/>
    <s v="Rina Marlina"/>
    <x v="0"/>
    <s v="PROD001"/>
    <n v="2"/>
    <x v="2"/>
    <n v="7500000"/>
    <n v="15000000"/>
    <n v="75000000"/>
  </r>
  <r>
    <s v="TXN-2025-469"/>
    <s v="2025-06-20"/>
    <x v="5"/>
    <x v="5"/>
    <s v="  DEWI lestari  "/>
    <s v="Dewi Lestari"/>
    <x v="4"/>
    <s v="PROD004"/>
    <n v="1"/>
    <x v="1"/>
    <n v="950000"/>
    <n v="950000"/>
    <n v="30000000"/>
  </r>
  <r>
    <s v="TXN-2025-470"/>
    <s v="2025-06-21"/>
    <x v="5"/>
    <x v="5"/>
    <s v="Ahmad Fauzi"/>
    <s v="Ahmad Fauzi"/>
    <x v="2"/>
    <s v="PROD001"/>
    <n v="1"/>
    <x v="2"/>
    <n v="7500000"/>
    <n v="7500000"/>
    <n v="75000000"/>
  </r>
  <r>
    <s v="TXN-2025-471"/>
    <s v="2025-06-21"/>
    <x v="5"/>
    <x v="5"/>
    <s v="  DEWI lestari  "/>
    <s v="Dewi Lestari"/>
    <x v="4"/>
    <s v="PROD007"/>
    <n v="2"/>
    <x v="2"/>
    <n v="1800000"/>
    <n v="3600000"/>
    <n v="75000000"/>
  </r>
  <r>
    <s v="TXN-2025-472"/>
    <s v="2025-06-21"/>
    <x v="5"/>
    <x v="5"/>
    <s v=" mega utami "/>
    <s v="Mega Utami"/>
    <x v="2"/>
    <s v="PROD008"/>
    <n v="10"/>
    <x v="2"/>
    <n v="250000"/>
    <n v="2500000"/>
    <n v="75000000"/>
  </r>
  <r>
    <s v="TXN-2025-473"/>
    <s v="2025-06-21"/>
    <x v="5"/>
    <x v="5"/>
    <s v="Eko Prasetyo"/>
    <s v="Eko Prasetyo"/>
    <x v="4"/>
    <s v="PROD004"/>
    <n v="2"/>
    <x v="1"/>
    <n v="950000"/>
    <n v="1900000"/>
    <n v="30000000"/>
  </r>
  <r>
    <s v="TXN-2025-474"/>
    <s v="2025-06-22"/>
    <x v="5"/>
    <x v="5"/>
    <s v=" mega utami "/>
    <s v="Mega Utami"/>
    <x v="2"/>
    <s v="PROD009"/>
    <n v="1"/>
    <x v="1"/>
    <n v="650000"/>
    <n v="650000"/>
    <n v="30000000"/>
  </r>
  <r>
    <s v="TXN-2025-475"/>
    <s v="2025-06-22"/>
    <x v="5"/>
    <x v="5"/>
    <s v="  DEWI lestari  "/>
    <s v="Dewi Lestari"/>
    <x v="4"/>
    <s v="PROD004"/>
    <n v="2"/>
    <x v="1"/>
    <n v="950000"/>
    <n v="1900000"/>
    <n v="30000000"/>
  </r>
  <r>
    <s v="TXN-2025-476"/>
    <s v="2025-06-22"/>
    <x v="5"/>
    <x v="5"/>
    <s v="Ahmad Fauzi"/>
    <s v="Ahmad Fauzi"/>
    <x v="0"/>
    <s v="PROD001"/>
    <n v="2"/>
    <x v="2"/>
    <n v="7500000"/>
    <n v="15000000"/>
    <n v="75000000"/>
  </r>
  <r>
    <s v="TXN-2025-477"/>
    <s v="2025-06-22"/>
    <x v="5"/>
    <x v="5"/>
    <s v="  siti RAHMA  "/>
    <s v="Siti Rahma"/>
    <x v="1"/>
    <s v="PROD003"/>
    <n v="3"/>
    <x v="1"/>
    <n v="1200000"/>
    <n v="3600000"/>
    <n v="30000000"/>
  </r>
  <r>
    <s v="TXN-2025-478"/>
    <s v="2025-06-22"/>
    <x v="5"/>
    <x v="5"/>
    <s v="andi WIJAYA"/>
    <s v="Andi Wijaya"/>
    <x v="2"/>
    <s v="PROD009"/>
    <n v="1"/>
    <x v="1"/>
    <n v="650000"/>
    <n v="650000"/>
    <n v="30000000"/>
  </r>
  <r>
    <s v="TXN-2025-479"/>
    <s v="2025-06-22"/>
    <x v="5"/>
    <x v="5"/>
    <s v=" mega utami "/>
    <s v="Mega Utami"/>
    <x v="1"/>
    <s v="PROD005"/>
    <n v="3"/>
    <x v="0"/>
    <n v="250000"/>
    <n v="750000"/>
    <n v="22500000"/>
  </r>
  <r>
    <s v="TXN-2025-480"/>
    <s v="2025-06-23"/>
    <x v="5"/>
    <x v="5"/>
    <s v=" mega utami "/>
    <s v="Mega Utami"/>
    <x v="2"/>
    <s v="PROD004"/>
    <n v="2"/>
    <x v="1"/>
    <n v="950000"/>
    <n v="1900000"/>
    <n v="30000000"/>
  </r>
  <r>
    <s v="TXN-2025-481"/>
    <s v="2025-06-23"/>
    <x v="5"/>
    <x v="5"/>
    <s v="  siti RAHMA  "/>
    <s v="Siti Rahma"/>
    <x v="2"/>
    <s v="PROD010"/>
    <n v="5"/>
    <x v="0"/>
    <n v="350000"/>
    <n v="1750000"/>
    <n v="22500000"/>
  </r>
  <r>
    <s v="TXN-2025-482"/>
    <s v="2025-06-24"/>
    <x v="5"/>
    <x v="5"/>
    <s v="  Sari Yuliana  "/>
    <s v="Sari Yuliana"/>
    <x v="0"/>
    <s v="PROD006"/>
    <n v="1"/>
    <x v="0"/>
    <n v="280000"/>
    <n v="280000"/>
    <n v="22500000"/>
  </r>
  <r>
    <s v="TXN-2025-483"/>
    <s v="2025-06-25"/>
    <x v="5"/>
    <x v="5"/>
    <s v="  Sari Yuliana  "/>
    <s v="Sari Yuliana"/>
    <x v="4"/>
    <s v="PROD010"/>
    <n v="2"/>
    <x v="0"/>
    <n v="350000"/>
    <n v="700000"/>
    <n v="22500000"/>
  </r>
  <r>
    <s v="TXN-2025-484"/>
    <s v="2025-06-25"/>
    <x v="5"/>
    <x v="5"/>
    <s v="  DEWI lestari  "/>
    <s v="Dewi Lestari"/>
    <x v="2"/>
    <s v="PROD010"/>
    <n v="5"/>
    <x v="0"/>
    <n v="350000"/>
    <n v="1750000"/>
    <n v="22500000"/>
  </r>
  <r>
    <s v="TXN-2025-485"/>
    <s v="2025-06-26"/>
    <x v="5"/>
    <x v="5"/>
    <s v=" mega utami "/>
    <s v="Mega Utami"/>
    <x v="4"/>
    <s v="PROD006"/>
    <n v="1"/>
    <x v="0"/>
    <n v="280000"/>
    <n v="280000"/>
    <n v="22500000"/>
  </r>
  <r>
    <s v="TXN-2025-486"/>
    <s v="2025-06-26"/>
    <x v="5"/>
    <x v="5"/>
    <s v="Ahmad Fauzi"/>
    <s v="Ahmad Fauzi"/>
    <x v="0"/>
    <s v="PROD004"/>
    <n v="5"/>
    <x v="1"/>
    <n v="950000"/>
    <n v="4750000"/>
    <n v="30000000"/>
  </r>
  <r>
    <s v="TXN-2025-487"/>
    <s v="2025-06-26"/>
    <x v="5"/>
    <x v="5"/>
    <s v="  budi santoso  "/>
    <s v="Budi Santoso"/>
    <x v="3"/>
    <s v="PROD005"/>
    <n v="2"/>
    <x v="0"/>
    <n v="250000"/>
    <n v="500000"/>
    <n v="22500000"/>
  </r>
  <r>
    <s v="TXN-2025-488"/>
    <s v="2025-06-26"/>
    <x v="5"/>
    <x v="5"/>
    <s v="  DEWI lestari  "/>
    <s v="Dewi Lestari"/>
    <x v="1"/>
    <s v="PROD003"/>
    <n v="1"/>
    <x v="1"/>
    <n v="1200000"/>
    <n v="1200000"/>
    <n v="30000000"/>
  </r>
  <r>
    <s v="TXN-2025-489"/>
    <s v="2025-06-27"/>
    <x v="5"/>
    <x v="5"/>
    <s v="  DEWI lestari  "/>
    <s v="Dewi Lestari"/>
    <x v="2"/>
    <s v="PROD009"/>
    <n v="1"/>
    <x v="1"/>
    <n v="650000"/>
    <n v="650000"/>
    <n v="30000000"/>
  </r>
  <r>
    <s v="TXN-2025-490"/>
    <s v="2025-06-27"/>
    <x v="5"/>
    <x v="5"/>
    <s v="andi WIJAYA"/>
    <s v="Andi Wijaya"/>
    <x v="0"/>
    <s v="PROD004"/>
    <n v="3"/>
    <x v="1"/>
    <n v="950000"/>
    <n v="2850000"/>
    <n v="30000000"/>
  </r>
  <r>
    <s v="TXN-2025-491"/>
    <s v="2025-06-28"/>
    <x v="5"/>
    <x v="5"/>
    <s v=" mega utami "/>
    <s v="Mega Utami"/>
    <x v="4"/>
    <s v="PROD007"/>
    <n v="1"/>
    <x v="2"/>
    <n v="1800000"/>
    <n v="1800000"/>
    <n v="75000000"/>
  </r>
  <r>
    <s v="TXN-2025-492"/>
    <s v="2025-06-28"/>
    <x v="5"/>
    <x v="5"/>
    <s v="  Sari Yuliana  "/>
    <s v="Sari Yuliana"/>
    <x v="2"/>
    <s v="PROD005"/>
    <n v="2"/>
    <x v="0"/>
    <n v="250000"/>
    <n v="500000"/>
    <n v="22500000"/>
  </r>
  <r>
    <s v="TXN-2025-493"/>
    <s v="2025-06-29"/>
    <x v="5"/>
    <x v="5"/>
    <s v="  Sari Yuliana  "/>
    <s v="Sari Yuliana"/>
    <x v="4"/>
    <s v="PROD005"/>
    <n v="1"/>
    <x v="0"/>
    <n v="250000"/>
    <n v="250000"/>
    <n v="22500000"/>
  </r>
  <r>
    <s v="TXN-2025-494"/>
    <s v="2025-06-29"/>
    <x v="5"/>
    <x v="5"/>
    <s v="Eko Prasetyo"/>
    <s v="Eko Prasetyo"/>
    <x v="3"/>
    <s v="PROD001"/>
    <n v="2"/>
    <x v="2"/>
    <n v="7500000"/>
    <n v="15000000"/>
    <n v="75000000"/>
  </r>
  <r>
    <s v="TXN-2025-495"/>
    <s v="2025-06-29"/>
    <x v="5"/>
    <x v="5"/>
    <s v="Bambang H."/>
    <s v="Bambang H."/>
    <x v="2"/>
    <s v="PROD009"/>
    <n v="1"/>
    <x v="1"/>
    <n v="650000"/>
    <n v="650000"/>
    <n v="30000000"/>
  </r>
  <r>
    <s v="TXN-2025-496"/>
    <s v="2025-06-29"/>
    <x v="5"/>
    <x v="5"/>
    <s v="Bambang H."/>
    <s v="Bambang H."/>
    <x v="1"/>
    <s v="PROD010"/>
    <n v="4"/>
    <x v="0"/>
    <n v="350000"/>
    <n v="1400000"/>
    <n v="22500000"/>
  </r>
  <r>
    <s v="TXN-2025-497"/>
    <s v="2025-06-29"/>
    <x v="5"/>
    <x v="5"/>
    <s v="Bambang H."/>
    <s v="Bambang H."/>
    <x v="2"/>
    <s v="PROD003"/>
    <n v="5"/>
    <x v="1"/>
    <n v="1200000"/>
    <n v="6000000"/>
    <n v="30000000"/>
  </r>
  <r>
    <s v="TXN-2025-498"/>
    <s v="2025-06-30"/>
    <x v="5"/>
    <x v="5"/>
    <s v="andi WIJAYA"/>
    <s v="Andi Wijaya"/>
    <x v="1"/>
    <s v="PROD007"/>
    <n v="5"/>
    <x v="2"/>
    <n v="1800000"/>
    <n v="9000000"/>
    <n v="75000000"/>
  </r>
  <r>
    <s v="TXN-2025-499"/>
    <s v="2025-06-30"/>
    <x v="5"/>
    <x v="5"/>
    <s v="Ahmad Fauzi"/>
    <s v="Ahmad Fauzi"/>
    <x v="4"/>
    <s v="PROD009"/>
    <n v="3"/>
    <x v="1"/>
    <n v="650000"/>
    <n v="1950000"/>
    <n v="30000000"/>
  </r>
  <r>
    <s v="TXN-2025-500"/>
    <s v="2025-07-01"/>
    <x v="6"/>
    <x v="6"/>
    <s v="Bambang H."/>
    <s v="Bambang H."/>
    <x v="2"/>
    <s v="PROD008"/>
    <n v="1"/>
    <x v="2"/>
    <n v="250000"/>
    <n v="250000"/>
    <n v="80000000"/>
  </r>
  <r>
    <s v="TXN-2025-501"/>
    <s v="2025-07-02"/>
    <x v="6"/>
    <x v="6"/>
    <s v="  siti RAHMA  "/>
    <s v="Siti Rahma"/>
    <x v="0"/>
    <s v="PROD001"/>
    <n v="3"/>
    <x v="2"/>
    <n v="7500000"/>
    <n v="22500000"/>
    <n v="80000000"/>
  </r>
  <r>
    <s v="TXN-2025-502"/>
    <s v="2025-07-02"/>
    <x v="6"/>
    <x v="6"/>
    <s v="RINA marlina"/>
    <s v="Rina Marlina"/>
    <x v="0"/>
    <s v="PROD006"/>
    <n v="1"/>
    <x v="0"/>
    <n v="280000"/>
    <n v="280000"/>
    <n v="24000000"/>
  </r>
  <r>
    <s v="TXN-2025-503"/>
    <s v="2025-07-03"/>
    <x v="6"/>
    <x v="6"/>
    <s v="  DEWI lestari  "/>
    <s v="Dewi Lestari"/>
    <x v="3"/>
    <s v="PROD007"/>
    <n v="1"/>
    <x v="2"/>
    <n v="1800000"/>
    <n v="1800000"/>
    <n v="80000000"/>
  </r>
  <r>
    <s v="TXN-2025-504"/>
    <s v="2025-07-03"/>
    <x v="6"/>
    <x v="6"/>
    <s v="Ahmad Fauzi"/>
    <s v="Ahmad Fauzi"/>
    <x v="0"/>
    <s v="PROD009"/>
    <n v="1"/>
    <x v="1"/>
    <n v="650000"/>
    <n v="650000"/>
    <n v="32000000"/>
  </r>
  <r>
    <s v="TXN-2025-505"/>
    <s v="2025-07-03"/>
    <x v="6"/>
    <x v="6"/>
    <s v="  Sari Yuliana  "/>
    <s v="Sari Yuliana"/>
    <x v="3"/>
    <s v="PROD006"/>
    <n v="2"/>
    <x v="0"/>
    <n v="280000"/>
    <n v="560000"/>
    <n v="24000000"/>
  </r>
  <r>
    <s v="TXN-2025-506"/>
    <s v="2025-07-04"/>
    <x v="6"/>
    <x v="6"/>
    <s v="Eko Prasetyo"/>
    <s v="Eko Prasetyo"/>
    <x v="4"/>
    <s v="PROD007"/>
    <n v="3"/>
    <x v="2"/>
    <n v="1800000"/>
    <n v="5400000"/>
    <n v="80000000"/>
  </r>
  <r>
    <s v="TXN-2025-507"/>
    <s v="2025-07-05"/>
    <x v="6"/>
    <x v="6"/>
    <s v="RINA marlina"/>
    <s v="Rina Marlina"/>
    <x v="1"/>
    <s v="PROD007"/>
    <n v="2"/>
    <x v="2"/>
    <n v="1800000"/>
    <n v="3600000"/>
    <n v="80000000"/>
  </r>
  <r>
    <s v="TXN-2025-508"/>
    <s v="2025-07-05"/>
    <x v="6"/>
    <x v="6"/>
    <s v="andi WIJAYA"/>
    <s v="Andi Wijaya"/>
    <x v="4"/>
    <s v="PROD003"/>
    <n v="2"/>
    <x v="1"/>
    <n v="1200000"/>
    <n v="2400000"/>
    <n v="32000000"/>
  </r>
  <r>
    <s v="TXN-2025-509"/>
    <s v="2025-07-05"/>
    <x v="6"/>
    <x v="6"/>
    <s v="  DEWI lestari  "/>
    <s v="Dewi Lestari"/>
    <x v="1"/>
    <s v="PROD005"/>
    <n v="1"/>
    <x v="0"/>
    <n v="250000"/>
    <n v="250000"/>
    <n v="24000000"/>
  </r>
  <r>
    <s v="TXN-2025-510"/>
    <s v="2025-07-06"/>
    <x v="6"/>
    <x v="6"/>
    <s v="andi WIJAYA"/>
    <s v="Andi Wijaya"/>
    <x v="1"/>
    <s v="PROD007"/>
    <n v="10"/>
    <x v="2"/>
    <n v="1800000"/>
    <n v="18000000"/>
    <n v="80000000"/>
  </r>
  <r>
    <s v="TXN-2025-511"/>
    <s v="2025-07-06"/>
    <x v="6"/>
    <x v="6"/>
    <s v="andi WIJAYA"/>
    <s v="Andi Wijaya"/>
    <x v="3"/>
    <s v="PROD003"/>
    <n v="2"/>
    <x v="1"/>
    <n v="1200000"/>
    <n v="2400000"/>
    <n v="32000000"/>
  </r>
  <r>
    <s v="TXN-2025-512"/>
    <s v="2025-07-06"/>
    <x v="6"/>
    <x v="6"/>
    <s v="  siti RAHMA  "/>
    <s v="Siti Rahma"/>
    <x v="0"/>
    <s v="PROD009"/>
    <n v="2"/>
    <x v="1"/>
    <n v="650000"/>
    <n v="1300000"/>
    <n v="32000000"/>
  </r>
  <r>
    <s v="TXN-2025-513"/>
    <s v="2025-07-06"/>
    <x v="6"/>
    <x v="6"/>
    <s v="  budi santoso  "/>
    <s v="Budi Santoso"/>
    <x v="0"/>
    <s v="PROD008"/>
    <n v="1"/>
    <x v="2"/>
    <n v="250000"/>
    <n v="250000"/>
    <n v="80000000"/>
  </r>
  <r>
    <s v="TXN-2025-514"/>
    <s v="2025-07-06"/>
    <x v="6"/>
    <x v="6"/>
    <s v="  budi santoso  "/>
    <s v="Budi Santoso"/>
    <x v="3"/>
    <s v="PROD004"/>
    <n v="3"/>
    <x v="1"/>
    <n v="950000"/>
    <n v="2850000"/>
    <n v="32000000"/>
  </r>
  <r>
    <s v="TXN-2025-515"/>
    <s v="2025-07-07"/>
    <x v="6"/>
    <x v="6"/>
    <s v="andi WIJAYA"/>
    <s v="Andi Wijaya"/>
    <x v="3"/>
    <s v="PROD004"/>
    <n v="2"/>
    <x v="1"/>
    <n v="950000"/>
    <n v="1900000"/>
    <n v="32000000"/>
  </r>
  <r>
    <s v="TXN-2025-516"/>
    <s v="2025-07-07"/>
    <x v="6"/>
    <x v="6"/>
    <s v="Bambang H."/>
    <s v="Bambang H."/>
    <x v="4"/>
    <s v="PROD005"/>
    <n v="1"/>
    <x v="0"/>
    <n v="250000"/>
    <n v="250000"/>
    <n v="24000000"/>
  </r>
  <r>
    <s v="TXN-2025-517"/>
    <s v="2025-07-07"/>
    <x v="6"/>
    <x v="6"/>
    <s v="  Sari Yuliana  "/>
    <s v="Sari Yuliana"/>
    <x v="3"/>
    <s v="PROD003"/>
    <n v="1"/>
    <x v="1"/>
    <n v="1200000"/>
    <n v="1200000"/>
    <n v="32000000"/>
  </r>
  <r>
    <s v="TXN-2025-518"/>
    <s v="2025-07-08"/>
    <x v="6"/>
    <x v="6"/>
    <s v="RINA marlina"/>
    <s v="Rina Marlina"/>
    <x v="0"/>
    <s v="PROD008"/>
    <n v="2"/>
    <x v="2"/>
    <n v="250000"/>
    <n v="500000"/>
    <n v="80000000"/>
  </r>
  <r>
    <s v="TXN-2025-519"/>
    <s v="2025-07-08"/>
    <x v="6"/>
    <x v="6"/>
    <s v="Bambang H."/>
    <s v="Bambang H."/>
    <x v="3"/>
    <s v="PROD001"/>
    <n v="2"/>
    <x v="2"/>
    <n v="7500000"/>
    <n v="15000000"/>
    <n v="80000000"/>
  </r>
  <r>
    <s v="TXN-2025-520"/>
    <s v="2025-07-09"/>
    <x v="6"/>
    <x v="6"/>
    <s v=" mega utami "/>
    <s v="Mega Utami"/>
    <x v="3"/>
    <s v="PROD009"/>
    <n v="1"/>
    <x v="1"/>
    <n v="650000"/>
    <n v="650000"/>
    <n v="32000000"/>
  </r>
  <r>
    <s v="TXN-2025-521"/>
    <s v="2025-07-09"/>
    <x v="6"/>
    <x v="6"/>
    <s v="  Sari Yuliana  "/>
    <s v="Sari Yuliana"/>
    <x v="1"/>
    <s v="PROD007"/>
    <n v="5"/>
    <x v="2"/>
    <n v="1800000"/>
    <n v="9000000"/>
    <n v="80000000"/>
  </r>
  <r>
    <s v="TXN-2025-522"/>
    <s v="2025-07-09"/>
    <x v="6"/>
    <x v="6"/>
    <s v="andi WIJAYA"/>
    <s v="Andi Wijaya"/>
    <x v="3"/>
    <s v="PROD007"/>
    <n v="1"/>
    <x v="2"/>
    <n v="1800000"/>
    <n v="1800000"/>
    <n v="80000000"/>
  </r>
  <r>
    <s v="TXN-2025-523"/>
    <s v="2025-07-09"/>
    <x v="6"/>
    <x v="6"/>
    <s v=" mega utami "/>
    <s v="Mega Utami"/>
    <x v="4"/>
    <s v="PROD009"/>
    <n v="2"/>
    <x v="1"/>
    <n v="650000"/>
    <n v="1300000"/>
    <n v="32000000"/>
  </r>
  <r>
    <s v="TXN-2025-524"/>
    <s v="2025-07-09"/>
    <x v="6"/>
    <x v="6"/>
    <s v="Bambang H."/>
    <s v="Bambang H."/>
    <x v="3"/>
    <s v="PROD009"/>
    <n v="5"/>
    <x v="1"/>
    <n v="650000"/>
    <n v="3250000"/>
    <n v="32000000"/>
  </r>
  <r>
    <s v="TXN-2025-525"/>
    <s v="2025-07-09"/>
    <x v="6"/>
    <x v="6"/>
    <s v=" mega utami "/>
    <s v="Mega Utami"/>
    <x v="2"/>
    <s v="PROD003"/>
    <n v="2"/>
    <x v="1"/>
    <n v="1200000"/>
    <n v="2400000"/>
    <n v="32000000"/>
  </r>
  <r>
    <s v="TXN-2025-526"/>
    <s v="2025-07-10"/>
    <x v="6"/>
    <x v="6"/>
    <s v="andi WIJAYA"/>
    <s v="Andi Wijaya"/>
    <x v="2"/>
    <s v="PROD007"/>
    <n v="2"/>
    <x v="2"/>
    <n v="1800000"/>
    <n v="3600000"/>
    <n v="80000000"/>
  </r>
  <r>
    <s v="TXN-2025-527"/>
    <s v="2025-07-10"/>
    <x v="6"/>
    <x v="6"/>
    <s v="  siti RAHMA  "/>
    <s v="Siti Rahma"/>
    <x v="1"/>
    <s v="PROD004"/>
    <n v="1"/>
    <x v="1"/>
    <n v="950000"/>
    <n v="950000"/>
    <n v="32000000"/>
  </r>
  <r>
    <s v="TXN-2025-528"/>
    <s v="2025-07-10"/>
    <x v="6"/>
    <x v="6"/>
    <s v="  budi santoso  "/>
    <s v="Budi Santoso"/>
    <x v="1"/>
    <s v="PROD005"/>
    <n v="1"/>
    <x v="0"/>
    <n v="250000"/>
    <n v="250000"/>
    <n v="24000000"/>
  </r>
  <r>
    <s v="TXN-2025-529"/>
    <s v="2025-07-11"/>
    <x v="6"/>
    <x v="6"/>
    <s v="RINA marlina"/>
    <s v="Rina Marlina"/>
    <x v="2"/>
    <s v="PROD004"/>
    <n v="10"/>
    <x v="1"/>
    <n v="950000"/>
    <n v="9500000"/>
    <n v="32000000"/>
  </r>
  <r>
    <s v="TXN-2025-530"/>
    <s v="2025-07-11"/>
    <x v="6"/>
    <x v="6"/>
    <s v=" mega utami "/>
    <s v="Mega Utami"/>
    <x v="1"/>
    <s v="PROD006"/>
    <n v="2"/>
    <x v="0"/>
    <n v="280000"/>
    <n v="560000"/>
    <n v="24000000"/>
  </r>
  <r>
    <s v="TXN-2025-531"/>
    <s v="2025-07-11"/>
    <x v="6"/>
    <x v="6"/>
    <s v="andi WIJAYA"/>
    <s v="Andi Wijaya"/>
    <x v="1"/>
    <s v="PROD002"/>
    <n v="4"/>
    <x v="2"/>
    <n v="4500000"/>
    <n v="18000000"/>
    <n v="80000000"/>
  </r>
  <r>
    <s v="TXN-2025-532"/>
    <s v="2025-07-11"/>
    <x v="6"/>
    <x v="6"/>
    <s v="  siti RAHMA  "/>
    <s v="Siti Rahma"/>
    <x v="0"/>
    <s v="PROD008"/>
    <n v="1"/>
    <x v="2"/>
    <n v="250000"/>
    <n v="250000"/>
    <n v="80000000"/>
  </r>
  <r>
    <s v="TXN-2025-533"/>
    <s v="2025-07-11"/>
    <x v="6"/>
    <x v="6"/>
    <s v="Ahmad Fauzi"/>
    <s v="Ahmad Fauzi"/>
    <x v="0"/>
    <s v="PROD006"/>
    <n v="1"/>
    <x v="0"/>
    <n v="280000"/>
    <n v="280000"/>
    <n v="24000000"/>
  </r>
  <r>
    <s v="TXN-2025-534"/>
    <s v="2025-07-11"/>
    <x v="6"/>
    <x v="6"/>
    <s v="Bambang H."/>
    <s v="Bambang H."/>
    <x v="3"/>
    <s v="PROD002"/>
    <n v="1"/>
    <x v="2"/>
    <n v="4500000"/>
    <n v="4500000"/>
    <n v="80000000"/>
  </r>
  <r>
    <s v="TXN-2025-535"/>
    <s v="2025-07-11"/>
    <x v="6"/>
    <x v="6"/>
    <s v="  budi santoso  "/>
    <s v="Budi Santoso"/>
    <x v="2"/>
    <s v="PROD009"/>
    <n v="2"/>
    <x v="1"/>
    <n v="650000"/>
    <n v="1300000"/>
    <n v="32000000"/>
  </r>
  <r>
    <s v="TXN-2025-536"/>
    <s v="2025-07-13"/>
    <x v="6"/>
    <x v="6"/>
    <s v="Ahmad Fauzi"/>
    <s v="Ahmad Fauzi"/>
    <x v="4"/>
    <s v="PROD004"/>
    <n v="1"/>
    <x v="1"/>
    <n v="950000"/>
    <n v="950000"/>
    <n v="32000000"/>
  </r>
  <r>
    <s v="TXN-2025-537"/>
    <s v="2025-07-13"/>
    <x v="6"/>
    <x v="6"/>
    <s v="andi WIJAYA"/>
    <s v="Andi Wijaya"/>
    <x v="2"/>
    <s v="PROD001"/>
    <n v="4"/>
    <x v="2"/>
    <n v="7500000"/>
    <n v="30000000"/>
    <n v="80000000"/>
  </r>
  <r>
    <s v="TXN-2025-538"/>
    <s v="2025-07-13"/>
    <x v="6"/>
    <x v="6"/>
    <s v="RINA marlina"/>
    <s v="Rina Marlina"/>
    <x v="2"/>
    <s v="PROD005"/>
    <n v="2"/>
    <x v="0"/>
    <n v="250000"/>
    <n v="500000"/>
    <n v="24000000"/>
  </r>
  <r>
    <s v="TXN-2025-539"/>
    <s v="2025-07-14"/>
    <x v="6"/>
    <x v="6"/>
    <s v="Bambang H."/>
    <s v="Bambang H."/>
    <x v="0"/>
    <s v="PROD007"/>
    <n v="5"/>
    <x v="2"/>
    <n v="1800000"/>
    <n v="9000000"/>
    <n v="80000000"/>
  </r>
  <r>
    <s v="TXN-2025-540"/>
    <s v="2025-07-14"/>
    <x v="6"/>
    <x v="6"/>
    <s v="  siti RAHMA  "/>
    <s v="Siti Rahma"/>
    <x v="0"/>
    <s v="PROD010"/>
    <n v="1"/>
    <x v="0"/>
    <n v="350000"/>
    <n v="350000"/>
    <n v="24000000"/>
  </r>
  <r>
    <s v="TXN-2025-541"/>
    <s v="2025-07-14"/>
    <x v="6"/>
    <x v="6"/>
    <s v="Bambang H."/>
    <s v="Bambang H."/>
    <x v="1"/>
    <s v="PROD010"/>
    <n v="4"/>
    <x v="0"/>
    <n v="350000"/>
    <n v="1400000"/>
    <n v="24000000"/>
  </r>
  <r>
    <s v="TXN-2025-542"/>
    <s v="2025-07-15"/>
    <x v="6"/>
    <x v="6"/>
    <s v="Ahmad Fauzi"/>
    <s v="Ahmad Fauzi"/>
    <x v="4"/>
    <s v="PROD001"/>
    <n v="3"/>
    <x v="2"/>
    <n v="7500000"/>
    <n v="22500000"/>
    <n v="80000000"/>
  </r>
  <r>
    <s v="TXN-2025-543"/>
    <s v="2025-07-15"/>
    <x v="6"/>
    <x v="6"/>
    <s v="Ahmad Fauzi"/>
    <s v="Ahmad Fauzi"/>
    <x v="0"/>
    <s v="PROD002"/>
    <n v="3"/>
    <x v="2"/>
    <n v="4500000"/>
    <n v="13500000"/>
    <n v="80000000"/>
  </r>
  <r>
    <s v="TXN-2025-544"/>
    <s v="2025-07-16"/>
    <x v="6"/>
    <x v="6"/>
    <s v="  Sari Yuliana  "/>
    <s v="Sari Yuliana"/>
    <x v="1"/>
    <s v="PROD004"/>
    <n v="3"/>
    <x v="1"/>
    <n v="950000"/>
    <n v="2850000"/>
    <n v="32000000"/>
  </r>
  <r>
    <s v="TXN-2025-545"/>
    <s v="2025-07-16"/>
    <x v="6"/>
    <x v="6"/>
    <s v="Eko Prasetyo"/>
    <s v="Eko Prasetyo"/>
    <x v="4"/>
    <s v="PROD010"/>
    <n v="3"/>
    <x v="0"/>
    <n v="350000"/>
    <n v="1050000"/>
    <n v="24000000"/>
  </r>
  <r>
    <s v="TXN-2025-546"/>
    <s v="2025-07-17"/>
    <x v="6"/>
    <x v="6"/>
    <s v="Bambang H."/>
    <s v="Bambang H."/>
    <x v="0"/>
    <s v="PROD009"/>
    <n v="2"/>
    <x v="1"/>
    <n v="650000"/>
    <n v="1300000"/>
    <n v="32000000"/>
  </r>
  <r>
    <s v="TXN-2025-547"/>
    <s v="2025-07-17"/>
    <x v="6"/>
    <x v="6"/>
    <s v="  Sari Yuliana  "/>
    <s v="Sari Yuliana"/>
    <x v="2"/>
    <s v="PROD004"/>
    <n v="1"/>
    <x v="1"/>
    <n v="950000"/>
    <n v="950000"/>
    <n v="32000000"/>
  </r>
  <r>
    <s v="TXN-2025-548"/>
    <s v="2025-07-17"/>
    <x v="6"/>
    <x v="6"/>
    <s v="Ahmad Fauzi"/>
    <s v="Ahmad Fauzi"/>
    <x v="2"/>
    <s v="PROD008"/>
    <n v="1"/>
    <x v="2"/>
    <n v="250000"/>
    <n v="250000"/>
    <n v="80000000"/>
  </r>
  <r>
    <s v="TXN-2025-549"/>
    <s v="2025-07-17"/>
    <x v="6"/>
    <x v="6"/>
    <s v=" mega utami "/>
    <s v="Mega Utami"/>
    <x v="4"/>
    <s v="PROD004"/>
    <n v="4"/>
    <x v="1"/>
    <n v="950000"/>
    <n v="3800000"/>
    <n v="32000000"/>
  </r>
  <r>
    <s v="TXN-2025-550"/>
    <s v="2025-07-18"/>
    <x v="6"/>
    <x v="6"/>
    <s v="Ahmad Fauzi"/>
    <s v="Ahmad Fauzi"/>
    <x v="4"/>
    <s v="PROD006"/>
    <n v="2"/>
    <x v="0"/>
    <n v="280000"/>
    <n v="560000"/>
    <n v="24000000"/>
  </r>
  <r>
    <s v="TXN-2025-551"/>
    <s v="2025-07-20"/>
    <x v="6"/>
    <x v="6"/>
    <s v="Bambang H."/>
    <s v="Bambang H."/>
    <x v="0"/>
    <s v="PROD005"/>
    <n v="3"/>
    <x v="0"/>
    <n v="250000"/>
    <n v="750000"/>
    <n v="24000000"/>
  </r>
  <r>
    <s v="TXN-2025-552"/>
    <s v="2025-07-20"/>
    <x v="6"/>
    <x v="6"/>
    <s v="  siti RAHMA  "/>
    <s v="Siti Rahma"/>
    <x v="0"/>
    <s v="PROD001"/>
    <n v="2"/>
    <x v="2"/>
    <n v="7500000"/>
    <n v="15000000"/>
    <n v="80000000"/>
  </r>
  <r>
    <s v="TXN-2025-553"/>
    <s v="2025-07-20"/>
    <x v="6"/>
    <x v="6"/>
    <s v="Bambang H."/>
    <s v="Bambang H."/>
    <x v="4"/>
    <s v="PROD004"/>
    <n v="1"/>
    <x v="1"/>
    <n v="950000"/>
    <n v="950000"/>
    <n v="32000000"/>
  </r>
  <r>
    <s v="TXN-2025-554"/>
    <s v="2025-07-21"/>
    <x v="6"/>
    <x v="6"/>
    <s v="Bambang H."/>
    <s v="Bambang H."/>
    <x v="4"/>
    <s v="PROD004"/>
    <n v="1"/>
    <x v="1"/>
    <n v="950000"/>
    <n v="950000"/>
    <n v="32000000"/>
  </r>
  <r>
    <s v="TXN-2025-555"/>
    <s v="2025-07-21"/>
    <x v="6"/>
    <x v="6"/>
    <s v="  DEWI lestari  "/>
    <s v="Dewi Lestari"/>
    <x v="1"/>
    <s v="PROD002"/>
    <n v="2"/>
    <x v="2"/>
    <n v="4500000"/>
    <n v="9000000"/>
    <n v="80000000"/>
  </r>
  <r>
    <s v="TXN-2025-556"/>
    <s v="2025-07-21"/>
    <x v="6"/>
    <x v="6"/>
    <s v="andi WIJAYA"/>
    <s v="Andi Wijaya"/>
    <x v="1"/>
    <s v="PROD008"/>
    <n v="2"/>
    <x v="2"/>
    <n v="250000"/>
    <n v="500000"/>
    <n v="80000000"/>
  </r>
  <r>
    <s v="TXN-2025-557"/>
    <s v="2025-07-21"/>
    <x v="6"/>
    <x v="6"/>
    <s v="  DEWI lestari  "/>
    <s v="Dewi Lestari"/>
    <x v="1"/>
    <s v="PROD004"/>
    <n v="1"/>
    <x v="1"/>
    <n v="950000"/>
    <n v="950000"/>
    <n v="32000000"/>
  </r>
  <r>
    <s v="TXN-2025-558"/>
    <s v="2025-07-22"/>
    <x v="6"/>
    <x v="6"/>
    <s v="Ahmad Fauzi"/>
    <s v="Ahmad Fauzi"/>
    <x v="2"/>
    <s v="PROD010"/>
    <n v="2"/>
    <x v="0"/>
    <n v="350000"/>
    <n v="700000"/>
    <n v="24000000"/>
  </r>
  <r>
    <s v="TXN-2025-559"/>
    <s v="2025-07-22"/>
    <x v="6"/>
    <x v="6"/>
    <s v="Bambang H."/>
    <s v="Bambang H."/>
    <x v="2"/>
    <s v="PROD004"/>
    <n v="1"/>
    <x v="1"/>
    <n v="950000"/>
    <n v="950000"/>
    <n v="32000000"/>
  </r>
  <r>
    <s v="TXN-2025-560"/>
    <s v="2025-07-22"/>
    <x v="6"/>
    <x v="6"/>
    <s v="andi WIJAYA"/>
    <s v="Andi Wijaya"/>
    <x v="1"/>
    <s v="PROD007"/>
    <n v="2"/>
    <x v="2"/>
    <n v="1800000"/>
    <n v="3600000"/>
    <n v="80000000"/>
  </r>
  <r>
    <s v="TXN-2025-561"/>
    <s v="2025-07-23"/>
    <x v="6"/>
    <x v="6"/>
    <s v="  DEWI lestari  "/>
    <s v="Dewi Lestari"/>
    <x v="1"/>
    <s v="PROD004"/>
    <n v="1"/>
    <x v="1"/>
    <n v="950000"/>
    <n v="950000"/>
    <n v="32000000"/>
  </r>
  <r>
    <s v="TXN-2025-562"/>
    <s v="2025-07-24"/>
    <x v="6"/>
    <x v="6"/>
    <s v="Bambang H."/>
    <s v="Bambang H."/>
    <x v="4"/>
    <s v="PROD009"/>
    <n v="3"/>
    <x v="1"/>
    <n v="650000"/>
    <n v="1950000"/>
    <n v="32000000"/>
  </r>
  <r>
    <s v="TXN-2025-563"/>
    <s v="2025-07-24"/>
    <x v="6"/>
    <x v="6"/>
    <s v="RINA marlina"/>
    <s v="Rina Marlina"/>
    <x v="2"/>
    <s v="PROD006"/>
    <n v="1"/>
    <x v="0"/>
    <n v="280000"/>
    <n v="280000"/>
    <n v="24000000"/>
  </r>
  <r>
    <s v="TXN-2025-564"/>
    <s v="2025-07-25"/>
    <x v="6"/>
    <x v="6"/>
    <s v="  DEWI lestari  "/>
    <s v="Dewi Lestari"/>
    <x v="1"/>
    <s v="PROD005"/>
    <n v="2"/>
    <x v="0"/>
    <n v="250000"/>
    <n v="500000"/>
    <n v="24000000"/>
  </r>
  <r>
    <s v="TXN-2025-565"/>
    <s v="2025-07-25"/>
    <x v="6"/>
    <x v="6"/>
    <s v="andi WIJAYA"/>
    <s v="Andi Wijaya"/>
    <x v="3"/>
    <s v="PROD007"/>
    <n v="1"/>
    <x v="2"/>
    <n v="1800000"/>
    <n v="1800000"/>
    <n v="80000000"/>
  </r>
  <r>
    <s v="TXN-2025-566"/>
    <s v="2025-07-26"/>
    <x v="6"/>
    <x v="6"/>
    <s v="  DEWI lestari  "/>
    <s v="Dewi Lestari"/>
    <x v="0"/>
    <s v="PROD008"/>
    <n v="1"/>
    <x v="2"/>
    <n v="250000"/>
    <n v="250000"/>
    <n v="80000000"/>
  </r>
  <r>
    <s v="TXN-2025-567"/>
    <s v="2025-07-26"/>
    <x v="6"/>
    <x v="6"/>
    <s v="Eko Prasetyo"/>
    <s v="Eko Prasetyo"/>
    <x v="1"/>
    <s v="PROD009"/>
    <n v="1"/>
    <x v="1"/>
    <n v="650000"/>
    <n v="650000"/>
    <n v="32000000"/>
  </r>
  <r>
    <s v="TXN-2025-568"/>
    <s v="2025-07-26"/>
    <x v="6"/>
    <x v="6"/>
    <s v="Eko Prasetyo"/>
    <s v="Eko Prasetyo"/>
    <x v="2"/>
    <s v="PROD006"/>
    <n v="2"/>
    <x v="0"/>
    <n v="280000"/>
    <n v="560000"/>
    <n v="24000000"/>
  </r>
  <r>
    <s v="TXN-2025-569"/>
    <s v="2025-07-27"/>
    <x v="6"/>
    <x v="6"/>
    <s v="Ahmad Fauzi"/>
    <s v="Ahmad Fauzi"/>
    <x v="1"/>
    <s v="PROD005"/>
    <n v="2"/>
    <x v="0"/>
    <n v="250000"/>
    <n v="500000"/>
    <n v="24000000"/>
  </r>
  <r>
    <s v="TXN-2025-570"/>
    <s v="2025-07-27"/>
    <x v="6"/>
    <x v="6"/>
    <s v="RINA marlina"/>
    <s v="Rina Marlina"/>
    <x v="3"/>
    <s v="PROD005"/>
    <n v="1"/>
    <x v="0"/>
    <n v="250000"/>
    <n v="250000"/>
    <n v="24000000"/>
  </r>
  <r>
    <s v="TXN-2025-571"/>
    <s v="2025-07-27"/>
    <x v="6"/>
    <x v="6"/>
    <s v="  siti RAHMA  "/>
    <s v="Siti Rahma"/>
    <x v="4"/>
    <s v="PROD006"/>
    <n v="2"/>
    <x v="0"/>
    <n v="280000"/>
    <n v="560000"/>
    <n v="24000000"/>
  </r>
  <r>
    <s v="TXN-2025-572"/>
    <s v="2025-07-31"/>
    <x v="6"/>
    <x v="6"/>
    <s v="  siti RAHMA  "/>
    <s v="Siti Rahma"/>
    <x v="2"/>
    <s v="PROD009"/>
    <n v="4"/>
    <x v="1"/>
    <n v="650000"/>
    <n v="2600000"/>
    <n v="32000000"/>
  </r>
  <r>
    <s v="TXN-2025-573"/>
    <s v="2025-07-31"/>
    <x v="6"/>
    <x v="6"/>
    <s v="andi WIJAYA"/>
    <s v="Andi Wijaya"/>
    <x v="4"/>
    <s v="PROD008"/>
    <n v="3"/>
    <x v="2"/>
    <n v="250000"/>
    <n v="750000"/>
    <n v="80000000"/>
  </r>
  <r>
    <s v="TXN-2025-574"/>
    <s v="2025-07-31"/>
    <x v="6"/>
    <x v="6"/>
    <s v=" mega utami "/>
    <s v="Mega Utami"/>
    <x v="0"/>
    <s v="PROD008"/>
    <n v="1"/>
    <x v="2"/>
    <n v="250000"/>
    <n v="250000"/>
    <n v="80000000"/>
  </r>
  <r>
    <s v="TXN-2025-575"/>
    <s v="2025-08-01"/>
    <x v="7"/>
    <x v="7"/>
    <s v="  siti RAHMA  "/>
    <s v="Siti Rahma"/>
    <x v="4"/>
    <s v="PROD002"/>
    <n v="2"/>
    <x v="2"/>
    <n v="4500000"/>
    <n v="9000000"/>
    <n v="85000000"/>
  </r>
  <r>
    <s v="TXN-2025-576"/>
    <s v="2025-08-01"/>
    <x v="7"/>
    <x v="7"/>
    <s v="andi WIJAYA"/>
    <s v="Andi Wijaya"/>
    <x v="1"/>
    <s v="PROD008"/>
    <n v="1"/>
    <x v="2"/>
    <n v="250000"/>
    <n v="250000"/>
    <n v="85000000"/>
  </r>
  <r>
    <s v="TXN-2025-577"/>
    <s v="2025-08-02"/>
    <x v="7"/>
    <x v="7"/>
    <s v="RINA marlina"/>
    <s v="Rina Marlina"/>
    <x v="3"/>
    <s v="PROD006"/>
    <n v="1"/>
    <x v="0"/>
    <n v="280000"/>
    <n v="280000"/>
    <n v="25500000"/>
  </r>
  <r>
    <s v="TXN-2025-578"/>
    <s v="2025-08-02"/>
    <x v="7"/>
    <x v="7"/>
    <s v=" mega utami "/>
    <s v="Mega Utami"/>
    <x v="4"/>
    <s v="PROD004"/>
    <n v="10"/>
    <x v="1"/>
    <n v="950000"/>
    <n v="9500000"/>
    <n v="34000000"/>
  </r>
  <r>
    <s v="TXN-2025-579"/>
    <s v="2025-08-02"/>
    <x v="7"/>
    <x v="7"/>
    <s v=" mega utami "/>
    <s v="Mega Utami"/>
    <x v="3"/>
    <s v="PROD006"/>
    <n v="1"/>
    <x v="0"/>
    <n v="280000"/>
    <n v="280000"/>
    <n v="25500000"/>
  </r>
  <r>
    <s v="TXN-2025-580"/>
    <s v="2025-08-03"/>
    <x v="7"/>
    <x v="7"/>
    <s v="Eko Prasetyo"/>
    <s v="Eko Prasetyo"/>
    <x v="2"/>
    <s v="PROD006"/>
    <n v="2"/>
    <x v="0"/>
    <n v="280000"/>
    <n v="560000"/>
    <n v="25500000"/>
  </r>
  <r>
    <s v="TXN-2025-581"/>
    <s v="2025-08-03"/>
    <x v="7"/>
    <x v="7"/>
    <s v="Ahmad Fauzi"/>
    <s v="Ahmad Fauzi"/>
    <x v="2"/>
    <s v="PROD007"/>
    <n v="2"/>
    <x v="2"/>
    <n v="1800000"/>
    <n v="3600000"/>
    <n v="85000000"/>
  </r>
  <r>
    <s v="TXN-2025-582"/>
    <s v="2025-08-03"/>
    <x v="7"/>
    <x v="7"/>
    <s v="Bambang H."/>
    <s v="Bambang H."/>
    <x v="1"/>
    <s v="PROD001"/>
    <n v="3"/>
    <x v="2"/>
    <n v="7500000"/>
    <n v="22500000"/>
    <n v="85000000"/>
  </r>
  <r>
    <s v="TXN-2025-583"/>
    <s v="2025-08-03"/>
    <x v="7"/>
    <x v="7"/>
    <s v=" mega utami "/>
    <s v="Mega Utami"/>
    <x v="1"/>
    <s v="PROD010"/>
    <n v="2"/>
    <x v="0"/>
    <n v="350000"/>
    <n v="700000"/>
    <n v="25500000"/>
  </r>
  <r>
    <s v="TXN-2025-584"/>
    <s v="2025-08-03"/>
    <x v="7"/>
    <x v="7"/>
    <s v="  budi santoso  "/>
    <s v="Budi Santoso"/>
    <x v="1"/>
    <s v="PROD004"/>
    <n v="1"/>
    <x v="1"/>
    <n v="950000"/>
    <n v="950000"/>
    <n v="34000000"/>
  </r>
  <r>
    <s v="TXN-2025-585"/>
    <s v="2025-08-04"/>
    <x v="7"/>
    <x v="7"/>
    <s v="andi WIJAYA"/>
    <s v="Andi Wijaya"/>
    <x v="3"/>
    <s v="PROD003"/>
    <n v="1"/>
    <x v="1"/>
    <n v="1200000"/>
    <n v="1200000"/>
    <n v="34000000"/>
  </r>
  <r>
    <s v="TXN-2025-586"/>
    <s v="2025-08-04"/>
    <x v="7"/>
    <x v="7"/>
    <s v=" mega utami "/>
    <s v="Mega Utami"/>
    <x v="0"/>
    <s v="PROD001"/>
    <n v="2"/>
    <x v="2"/>
    <n v="7500000"/>
    <n v="15000000"/>
    <n v="85000000"/>
  </r>
  <r>
    <s v="TXN-2025-587"/>
    <s v="2025-08-05"/>
    <x v="7"/>
    <x v="7"/>
    <s v=" mega utami "/>
    <s v="Mega Utami"/>
    <x v="0"/>
    <s v="PROD005"/>
    <n v="1"/>
    <x v="0"/>
    <n v="250000"/>
    <n v="250000"/>
    <n v="25500000"/>
  </r>
  <r>
    <s v="TXN-2025-588"/>
    <s v="2025-08-05"/>
    <x v="7"/>
    <x v="7"/>
    <s v="  Sari Yuliana  "/>
    <s v="Sari Yuliana"/>
    <x v="0"/>
    <s v="PROD009"/>
    <n v="1"/>
    <x v="1"/>
    <n v="650000"/>
    <n v="650000"/>
    <n v="34000000"/>
  </r>
  <r>
    <s v="TXN-2025-589"/>
    <s v="2025-08-05"/>
    <x v="7"/>
    <x v="7"/>
    <s v="  budi santoso  "/>
    <s v="Budi Santoso"/>
    <x v="2"/>
    <s v="PROD010"/>
    <n v="1"/>
    <x v="0"/>
    <n v="350000"/>
    <n v="350000"/>
    <n v="25500000"/>
  </r>
  <r>
    <s v="TXN-2025-590"/>
    <s v="2025-08-05"/>
    <x v="7"/>
    <x v="7"/>
    <s v="  Sari Yuliana  "/>
    <s v="Sari Yuliana"/>
    <x v="2"/>
    <s v="PROD010"/>
    <n v="1"/>
    <x v="0"/>
    <n v="350000"/>
    <n v="350000"/>
    <n v="25500000"/>
  </r>
  <r>
    <s v="TXN-2025-591"/>
    <s v="2025-08-05"/>
    <x v="7"/>
    <x v="7"/>
    <s v=" mega utami "/>
    <s v="Mega Utami"/>
    <x v="0"/>
    <s v="PROD007"/>
    <n v="1"/>
    <x v="2"/>
    <n v="1800000"/>
    <n v="1800000"/>
    <n v="85000000"/>
  </r>
  <r>
    <s v="TXN-2025-592"/>
    <s v="2025-08-05"/>
    <x v="7"/>
    <x v="7"/>
    <s v="Bambang H."/>
    <s v="Bambang H."/>
    <x v="1"/>
    <s v="PROD005"/>
    <n v="1"/>
    <x v="0"/>
    <n v="250000"/>
    <n v="250000"/>
    <n v="25500000"/>
  </r>
  <r>
    <s v="TXN-2025-593"/>
    <s v="2025-08-06"/>
    <x v="7"/>
    <x v="7"/>
    <s v="  budi santoso  "/>
    <s v="Budi Santoso"/>
    <x v="4"/>
    <s v="PROD003"/>
    <n v="2"/>
    <x v="1"/>
    <n v="1200000"/>
    <n v="2400000"/>
    <n v="34000000"/>
  </r>
  <r>
    <s v="TXN-2025-594"/>
    <s v="2025-08-06"/>
    <x v="7"/>
    <x v="7"/>
    <s v="Eko Prasetyo"/>
    <s v="Eko Prasetyo"/>
    <x v="0"/>
    <s v="PROD004"/>
    <n v="2"/>
    <x v="1"/>
    <n v="950000"/>
    <n v="1900000"/>
    <n v="34000000"/>
  </r>
  <r>
    <s v="TXN-2025-595"/>
    <s v="2025-08-06"/>
    <x v="7"/>
    <x v="7"/>
    <s v="  DEWI lestari  "/>
    <s v="Dewi Lestari"/>
    <x v="4"/>
    <s v="PROD006"/>
    <n v="3"/>
    <x v="0"/>
    <n v="280000"/>
    <n v="840000"/>
    <n v="25500000"/>
  </r>
  <r>
    <s v="TXN-2025-596"/>
    <s v="2025-08-06"/>
    <x v="7"/>
    <x v="7"/>
    <s v=" mega utami "/>
    <s v="Mega Utami"/>
    <x v="0"/>
    <s v="PROD004"/>
    <n v="1"/>
    <x v="1"/>
    <n v="950000"/>
    <n v="950000"/>
    <n v="34000000"/>
  </r>
  <r>
    <s v="TXN-2025-597"/>
    <s v="2025-08-06"/>
    <x v="7"/>
    <x v="7"/>
    <s v=" mega utami "/>
    <s v="Mega Utami"/>
    <x v="4"/>
    <s v="PROD007"/>
    <n v="1"/>
    <x v="2"/>
    <n v="1800000"/>
    <n v="1800000"/>
    <n v="85000000"/>
  </r>
  <r>
    <s v="TXN-2025-598"/>
    <s v="2025-08-08"/>
    <x v="7"/>
    <x v="7"/>
    <s v="Ahmad Fauzi"/>
    <s v="Ahmad Fauzi"/>
    <x v="1"/>
    <s v="PROD010"/>
    <n v="1"/>
    <x v="0"/>
    <n v="350000"/>
    <n v="350000"/>
    <n v="25500000"/>
  </r>
  <r>
    <s v="TXN-2025-599"/>
    <s v="2025-08-08"/>
    <x v="7"/>
    <x v="7"/>
    <s v="Ahmad Fauzi"/>
    <s v="Ahmad Fauzi"/>
    <x v="2"/>
    <s v="PROD004"/>
    <n v="2"/>
    <x v="1"/>
    <n v="950000"/>
    <n v="1900000"/>
    <n v="34000000"/>
  </r>
  <r>
    <s v="TXN-2025-600"/>
    <s v="2025-08-08"/>
    <x v="7"/>
    <x v="7"/>
    <s v="  Sari Yuliana  "/>
    <s v="Sari Yuliana"/>
    <x v="0"/>
    <s v="PROD008"/>
    <n v="3"/>
    <x v="2"/>
    <n v="250000"/>
    <n v="750000"/>
    <n v="85000000"/>
  </r>
  <r>
    <s v="TXN-2025-601"/>
    <s v="2025-08-08"/>
    <x v="7"/>
    <x v="7"/>
    <s v="andi WIJAYA"/>
    <s v="Andi Wijaya"/>
    <x v="0"/>
    <s v="PROD009"/>
    <n v="1"/>
    <x v="1"/>
    <n v="650000"/>
    <n v="650000"/>
    <n v="34000000"/>
  </r>
  <r>
    <s v="TXN-2025-602"/>
    <s v="2025-08-08"/>
    <x v="7"/>
    <x v="7"/>
    <s v="Bambang H."/>
    <s v="Bambang H."/>
    <x v="1"/>
    <s v="PROD006"/>
    <n v="5"/>
    <x v="0"/>
    <n v="280000"/>
    <n v="1400000"/>
    <n v="25500000"/>
  </r>
  <r>
    <s v="TXN-2025-603"/>
    <s v="2025-08-08"/>
    <x v="7"/>
    <x v="7"/>
    <s v="andi WIJAYA"/>
    <s v="Andi Wijaya"/>
    <x v="3"/>
    <s v="PROD005"/>
    <n v="1"/>
    <x v="0"/>
    <n v="250000"/>
    <n v="250000"/>
    <n v="25500000"/>
  </r>
  <r>
    <s v="TXN-2025-604"/>
    <s v="2025-08-08"/>
    <x v="7"/>
    <x v="7"/>
    <s v="  DEWI lestari  "/>
    <s v="Dewi Lestari"/>
    <x v="0"/>
    <s v="PROD008"/>
    <n v="2"/>
    <x v="2"/>
    <n v="250000"/>
    <n v="500000"/>
    <n v="85000000"/>
  </r>
  <r>
    <s v="TXN-2025-605"/>
    <s v="2025-08-09"/>
    <x v="7"/>
    <x v="7"/>
    <s v=" mega utami "/>
    <s v="Mega Utami"/>
    <x v="4"/>
    <s v="PROD008"/>
    <n v="3"/>
    <x v="2"/>
    <n v="250000"/>
    <n v="750000"/>
    <n v="85000000"/>
  </r>
  <r>
    <s v="TXN-2025-606"/>
    <s v="2025-08-10"/>
    <x v="7"/>
    <x v="7"/>
    <s v="Bambang H."/>
    <s v="Bambang H."/>
    <x v="1"/>
    <s v="PROD008"/>
    <n v="4"/>
    <x v="2"/>
    <n v="250000"/>
    <n v="1000000"/>
    <n v="85000000"/>
  </r>
  <r>
    <s v="TXN-2025-607"/>
    <s v="2025-08-10"/>
    <x v="7"/>
    <x v="7"/>
    <s v="  budi santoso  "/>
    <s v="Budi Santoso"/>
    <x v="3"/>
    <s v="PROD003"/>
    <n v="3"/>
    <x v="1"/>
    <n v="1200000"/>
    <n v="3600000"/>
    <n v="34000000"/>
  </r>
  <r>
    <s v="TXN-2025-608"/>
    <s v="2025-08-10"/>
    <x v="7"/>
    <x v="7"/>
    <s v=" mega utami "/>
    <s v="Mega Utami"/>
    <x v="0"/>
    <s v="PROD006"/>
    <n v="3"/>
    <x v="0"/>
    <n v="280000"/>
    <n v="840000"/>
    <n v="25500000"/>
  </r>
  <r>
    <s v="TXN-2025-609"/>
    <s v="2025-08-11"/>
    <x v="7"/>
    <x v="7"/>
    <s v="Eko Prasetyo"/>
    <s v="Eko Prasetyo"/>
    <x v="0"/>
    <s v="PROD003"/>
    <n v="1"/>
    <x v="1"/>
    <n v="1200000"/>
    <n v="1200000"/>
    <n v="34000000"/>
  </r>
  <r>
    <s v="TXN-2025-610"/>
    <s v="2025-08-11"/>
    <x v="7"/>
    <x v="7"/>
    <s v=" mega utami "/>
    <s v="Mega Utami"/>
    <x v="2"/>
    <s v="PROD003"/>
    <n v="3"/>
    <x v="1"/>
    <n v="1200000"/>
    <n v="3600000"/>
    <n v="34000000"/>
  </r>
  <r>
    <s v="TXN-2025-611"/>
    <s v="2025-08-11"/>
    <x v="7"/>
    <x v="7"/>
    <s v="  siti RAHMA  "/>
    <s v="Siti Rahma"/>
    <x v="3"/>
    <s v="PROD009"/>
    <n v="1"/>
    <x v="1"/>
    <n v="650000"/>
    <n v="650000"/>
    <n v="34000000"/>
  </r>
  <r>
    <s v="TXN-2025-612"/>
    <s v="2025-08-11"/>
    <x v="7"/>
    <x v="7"/>
    <s v="Bambang H."/>
    <s v="Bambang H."/>
    <x v="1"/>
    <s v="PROD008"/>
    <n v="4"/>
    <x v="2"/>
    <n v="250000"/>
    <n v="1000000"/>
    <n v="85000000"/>
  </r>
  <r>
    <s v="TXN-2025-613"/>
    <s v="2025-08-11"/>
    <x v="7"/>
    <x v="7"/>
    <s v="  siti RAHMA  "/>
    <s v="Siti Rahma"/>
    <x v="4"/>
    <s v="PROD003"/>
    <n v="2"/>
    <x v="1"/>
    <n v="1200000"/>
    <n v="2400000"/>
    <n v="34000000"/>
  </r>
  <r>
    <s v="TXN-2025-614"/>
    <s v="2025-08-12"/>
    <x v="7"/>
    <x v="7"/>
    <s v="  Sari Yuliana  "/>
    <s v="Sari Yuliana"/>
    <x v="0"/>
    <s v="PROD009"/>
    <n v="3"/>
    <x v="1"/>
    <n v="650000"/>
    <n v="1950000"/>
    <n v="34000000"/>
  </r>
  <r>
    <s v="TXN-2025-615"/>
    <s v="2025-08-12"/>
    <x v="7"/>
    <x v="7"/>
    <s v="Ahmad Fauzi"/>
    <s v="Ahmad Fauzi"/>
    <x v="1"/>
    <s v="PROD001"/>
    <n v="2"/>
    <x v="2"/>
    <n v="7500000"/>
    <n v="15000000"/>
    <n v="85000000"/>
  </r>
  <r>
    <s v="TXN-2025-616"/>
    <s v="2025-08-12"/>
    <x v="7"/>
    <x v="7"/>
    <s v="  budi santoso  "/>
    <s v="Budi Santoso"/>
    <x v="2"/>
    <s v="PROD009"/>
    <n v="2"/>
    <x v="1"/>
    <n v="650000"/>
    <n v="1300000"/>
    <n v="34000000"/>
  </r>
  <r>
    <s v="TXN-2025-617"/>
    <s v="2025-08-12"/>
    <x v="7"/>
    <x v="7"/>
    <s v=" mega utami "/>
    <s v="Mega Utami"/>
    <x v="0"/>
    <s v="PROD001"/>
    <n v="2"/>
    <x v="2"/>
    <n v="7500000"/>
    <n v="15000000"/>
    <n v="85000000"/>
  </r>
  <r>
    <s v="TXN-2025-618"/>
    <s v="2025-08-13"/>
    <x v="7"/>
    <x v="7"/>
    <s v="  Sari Yuliana  "/>
    <s v="Sari Yuliana"/>
    <x v="3"/>
    <s v="PROD002"/>
    <n v="3"/>
    <x v="2"/>
    <n v="4500000"/>
    <n v="13500000"/>
    <n v="85000000"/>
  </r>
  <r>
    <s v="TXN-2025-619"/>
    <s v="2025-08-13"/>
    <x v="7"/>
    <x v="7"/>
    <s v="  Sari Yuliana  "/>
    <s v="Sari Yuliana"/>
    <x v="1"/>
    <s v="PROD001"/>
    <n v="1"/>
    <x v="2"/>
    <n v="7500000"/>
    <n v="7500000"/>
    <n v="85000000"/>
  </r>
  <r>
    <s v="TXN-2025-620"/>
    <s v="2025-08-13"/>
    <x v="7"/>
    <x v="7"/>
    <s v="  budi santoso  "/>
    <s v="Budi Santoso"/>
    <x v="4"/>
    <s v="PROD001"/>
    <n v="1"/>
    <x v="2"/>
    <n v="7500000"/>
    <n v="7500000"/>
    <n v="85000000"/>
  </r>
  <r>
    <s v="TXN-2025-621"/>
    <s v="2025-08-13"/>
    <x v="7"/>
    <x v="7"/>
    <s v="RINA marlina"/>
    <s v="Rina Marlina"/>
    <x v="2"/>
    <s v="PROD007"/>
    <n v="1"/>
    <x v="2"/>
    <n v="1800000"/>
    <n v="1800000"/>
    <n v="85000000"/>
  </r>
  <r>
    <s v="TXN-2025-622"/>
    <s v="2025-08-14"/>
    <x v="7"/>
    <x v="7"/>
    <s v=" mega utami "/>
    <s v="Mega Utami"/>
    <x v="1"/>
    <s v="PROD003"/>
    <n v="1"/>
    <x v="1"/>
    <n v="1200000"/>
    <n v="1200000"/>
    <n v="34000000"/>
  </r>
  <r>
    <s v="TXN-2025-623"/>
    <s v="2025-08-14"/>
    <x v="7"/>
    <x v="7"/>
    <s v="  siti RAHMA  "/>
    <s v="Siti Rahma"/>
    <x v="0"/>
    <s v="PROD004"/>
    <n v="4"/>
    <x v="1"/>
    <n v="950000"/>
    <n v="3800000"/>
    <n v="34000000"/>
  </r>
  <r>
    <s v="TXN-2025-624"/>
    <s v="2025-08-14"/>
    <x v="7"/>
    <x v="7"/>
    <s v="Bambang H."/>
    <s v="Bambang H."/>
    <x v="4"/>
    <s v="PROD002"/>
    <n v="1"/>
    <x v="2"/>
    <n v="4500000"/>
    <n v="4500000"/>
    <n v="85000000"/>
  </r>
  <r>
    <s v="TXN-2025-625"/>
    <s v="2025-08-15"/>
    <x v="7"/>
    <x v="7"/>
    <s v="  siti RAHMA  "/>
    <s v="Siti Rahma"/>
    <x v="0"/>
    <s v="PROD003"/>
    <n v="5"/>
    <x v="1"/>
    <n v="1200000"/>
    <n v="6000000"/>
    <n v="34000000"/>
  </r>
  <r>
    <s v="TXN-2025-626"/>
    <s v="2025-08-15"/>
    <x v="7"/>
    <x v="7"/>
    <s v="  budi santoso  "/>
    <s v="Budi Santoso"/>
    <x v="0"/>
    <s v="PROD001"/>
    <n v="1"/>
    <x v="2"/>
    <n v="7500000"/>
    <n v="7500000"/>
    <n v="85000000"/>
  </r>
  <r>
    <s v="TXN-2025-627"/>
    <s v="2025-08-15"/>
    <x v="7"/>
    <x v="7"/>
    <s v="  DEWI lestari  "/>
    <s v="Dewi Lestari"/>
    <x v="3"/>
    <s v="PROD004"/>
    <n v="1"/>
    <x v="1"/>
    <n v="950000"/>
    <n v="950000"/>
    <n v="34000000"/>
  </r>
  <r>
    <s v="TXN-2025-628"/>
    <s v="2025-08-15"/>
    <x v="7"/>
    <x v="7"/>
    <s v=" mega utami "/>
    <s v="Mega Utami"/>
    <x v="3"/>
    <s v="PROD009"/>
    <n v="3"/>
    <x v="1"/>
    <n v="650000"/>
    <n v="1950000"/>
    <n v="34000000"/>
  </r>
  <r>
    <s v="TXN-2025-629"/>
    <s v="2025-08-15"/>
    <x v="7"/>
    <x v="7"/>
    <s v="Eko Prasetyo"/>
    <s v="Eko Prasetyo"/>
    <x v="0"/>
    <s v="PROD008"/>
    <n v="2"/>
    <x v="2"/>
    <n v="250000"/>
    <n v="500000"/>
    <n v="85000000"/>
  </r>
  <r>
    <s v="TXN-2025-630"/>
    <s v="2025-08-16"/>
    <x v="7"/>
    <x v="7"/>
    <s v="andi WIJAYA"/>
    <s v="Andi Wijaya"/>
    <x v="2"/>
    <s v="PROD006"/>
    <n v="2"/>
    <x v="0"/>
    <n v="280000"/>
    <n v="560000"/>
    <n v="25500000"/>
  </r>
  <r>
    <s v="TXN-2025-631"/>
    <s v="2025-08-16"/>
    <x v="7"/>
    <x v="7"/>
    <s v="Bambang H."/>
    <s v="Bambang H."/>
    <x v="3"/>
    <s v="PROD001"/>
    <n v="2"/>
    <x v="2"/>
    <n v="7500000"/>
    <n v="15000000"/>
    <n v="85000000"/>
  </r>
  <r>
    <s v="TXN-2025-632"/>
    <s v="2025-08-17"/>
    <x v="7"/>
    <x v="7"/>
    <s v="Eko Prasetyo"/>
    <s v="Eko Prasetyo"/>
    <x v="3"/>
    <s v="PROD010"/>
    <n v="3"/>
    <x v="0"/>
    <n v="350000"/>
    <n v="1050000"/>
    <n v="25500000"/>
  </r>
  <r>
    <s v="TXN-2025-633"/>
    <s v="2025-08-17"/>
    <x v="7"/>
    <x v="7"/>
    <s v="Eko Prasetyo"/>
    <s v="Eko Prasetyo"/>
    <x v="3"/>
    <s v="PROD010"/>
    <n v="1"/>
    <x v="0"/>
    <n v="350000"/>
    <n v="350000"/>
    <n v="25500000"/>
  </r>
  <r>
    <s v="TXN-2025-634"/>
    <s v="2025-08-17"/>
    <x v="7"/>
    <x v="7"/>
    <s v=" mega utami "/>
    <s v="Mega Utami"/>
    <x v="3"/>
    <s v="PROD008"/>
    <n v="10"/>
    <x v="2"/>
    <n v="250000"/>
    <n v="2500000"/>
    <n v="85000000"/>
  </r>
  <r>
    <s v="TXN-2025-635"/>
    <s v="2025-08-17"/>
    <x v="7"/>
    <x v="7"/>
    <s v="  DEWI lestari  "/>
    <s v="Dewi Lestari"/>
    <x v="4"/>
    <s v="PROD008"/>
    <n v="5"/>
    <x v="2"/>
    <n v="250000"/>
    <n v="1250000"/>
    <n v="85000000"/>
  </r>
  <r>
    <s v="TXN-2025-636"/>
    <s v="2025-08-17"/>
    <x v="7"/>
    <x v="7"/>
    <s v=" mega utami "/>
    <s v="Mega Utami"/>
    <x v="0"/>
    <s v="PROD001"/>
    <n v="2"/>
    <x v="2"/>
    <n v="7500000"/>
    <n v="15000000"/>
    <n v="85000000"/>
  </r>
  <r>
    <s v="TXN-2025-637"/>
    <s v="2025-08-18"/>
    <x v="7"/>
    <x v="7"/>
    <s v="  DEWI lestari  "/>
    <s v="Dewi Lestari"/>
    <x v="4"/>
    <s v="PROD001"/>
    <n v="1"/>
    <x v="2"/>
    <n v="7500000"/>
    <n v="7500000"/>
    <n v="85000000"/>
  </r>
  <r>
    <s v="TXN-2025-638"/>
    <s v="2025-08-18"/>
    <x v="7"/>
    <x v="7"/>
    <s v="RINA marlina"/>
    <s v="Rina Marlina"/>
    <x v="1"/>
    <s v="PROD009"/>
    <n v="2"/>
    <x v="1"/>
    <n v="650000"/>
    <n v="1300000"/>
    <n v="34000000"/>
  </r>
  <r>
    <s v="TXN-2025-639"/>
    <s v="2025-08-19"/>
    <x v="7"/>
    <x v="7"/>
    <s v="Bambang H."/>
    <s v="Bambang H."/>
    <x v="1"/>
    <s v="PROD009"/>
    <n v="1"/>
    <x v="1"/>
    <n v="650000"/>
    <n v="650000"/>
    <n v="34000000"/>
  </r>
  <r>
    <s v="TXN-2025-640"/>
    <s v="2025-08-19"/>
    <x v="7"/>
    <x v="7"/>
    <s v="  budi santoso  "/>
    <s v="Budi Santoso"/>
    <x v="1"/>
    <s v="PROD007"/>
    <n v="1"/>
    <x v="2"/>
    <n v="1800000"/>
    <n v="1800000"/>
    <n v="85000000"/>
  </r>
  <r>
    <s v="TXN-2025-641"/>
    <s v="2025-08-19"/>
    <x v="7"/>
    <x v="7"/>
    <s v="Ahmad Fauzi"/>
    <s v="Ahmad Fauzi"/>
    <x v="4"/>
    <s v="PROD001"/>
    <n v="1"/>
    <x v="2"/>
    <n v="7500000"/>
    <n v="7500000"/>
    <n v="85000000"/>
  </r>
  <r>
    <s v="TXN-2025-642"/>
    <s v="2025-08-19"/>
    <x v="7"/>
    <x v="7"/>
    <s v="  budi santoso  "/>
    <s v="Budi Santoso"/>
    <x v="0"/>
    <s v="PROD001"/>
    <n v="2"/>
    <x v="2"/>
    <n v="7500000"/>
    <n v="15000000"/>
    <n v="85000000"/>
  </r>
  <r>
    <s v="TXN-2025-643"/>
    <s v="2025-08-19"/>
    <x v="7"/>
    <x v="7"/>
    <s v="Eko Prasetyo"/>
    <s v="Eko Prasetyo"/>
    <x v="1"/>
    <s v="PROD009"/>
    <n v="4"/>
    <x v="1"/>
    <n v="650000"/>
    <n v="2600000"/>
    <n v="34000000"/>
  </r>
  <r>
    <s v="TXN-2025-644"/>
    <s v="2025-08-21"/>
    <x v="7"/>
    <x v="7"/>
    <s v="andi WIJAYA"/>
    <s v="Andi Wijaya"/>
    <x v="3"/>
    <s v="PROD005"/>
    <n v="3"/>
    <x v="0"/>
    <n v="250000"/>
    <n v="750000"/>
    <n v="25500000"/>
  </r>
  <r>
    <s v="TXN-2025-645"/>
    <s v="2025-08-21"/>
    <x v="7"/>
    <x v="7"/>
    <s v="RINA marlina"/>
    <s v="Rina Marlina"/>
    <x v="1"/>
    <s v="PROD009"/>
    <n v="3"/>
    <x v="1"/>
    <n v="650000"/>
    <n v="1950000"/>
    <n v="34000000"/>
  </r>
  <r>
    <s v="TXN-2025-646"/>
    <s v="2025-08-21"/>
    <x v="7"/>
    <x v="7"/>
    <s v="  budi santoso  "/>
    <s v="Budi Santoso"/>
    <x v="2"/>
    <s v="PROD005"/>
    <n v="2"/>
    <x v="0"/>
    <n v="250000"/>
    <n v="500000"/>
    <n v="25500000"/>
  </r>
  <r>
    <s v="TXN-2025-647"/>
    <s v="2025-08-21"/>
    <x v="7"/>
    <x v="7"/>
    <s v="  budi santoso  "/>
    <s v="Budi Santoso"/>
    <x v="3"/>
    <s v="PROD001"/>
    <n v="1"/>
    <x v="2"/>
    <n v="7500000"/>
    <n v="7500000"/>
    <n v="85000000"/>
  </r>
  <r>
    <s v="TXN-2025-648"/>
    <s v="2025-08-21"/>
    <x v="7"/>
    <x v="7"/>
    <s v="andi WIJAYA"/>
    <s v="Andi Wijaya"/>
    <x v="3"/>
    <s v="PROD009"/>
    <n v="1"/>
    <x v="1"/>
    <n v="650000"/>
    <n v="650000"/>
    <n v="34000000"/>
  </r>
  <r>
    <s v="TXN-2025-649"/>
    <s v="2025-08-21"/>
    <x v="7"/>
    <x v="7"/>
    <s v="andi WIJAYA"/>
    <s v="Andi Wijaya"/>
    <x v="3"/>
    <s v="PROD007"/>
    <n v="10"/>
    <x v="2"/>
    <n v="1800000"/>
    <n v="18000000"/>
    <n v="85000000"/>
  </r>
  <r>
    <s v="TXN-2025-650"/>
    <s v="2025-08-21"/>
    <x v="7"/>
    <x v="7"/>
    <s v="  budi santoso  "/>
    <s v="Budi Santoso"/>
    <x v="1"/>
    <s v="PROD003"/>
    <n v="1"/>
    <x v="1"/>
    <n v="1200000"/>
    <n v="1200000"/>
    <n v="34000000"/>
  </r>
  <r>
    <s v="TXN-2025-651"/>
    <s v="2025-08-21"/>
    <x v="7"/>
    <x v="7"/>
    <s v="  Sari Yuliana  "/>
    <s v="Sari Yuliana"/>
    <x v="3"/>
    <s v="PROD002"/>
    <n v="4"/>
    <x v="2"/>
    <n v="4500000"/>
    <n v="18000000"/>
    <n v="85000000"/>
  </r>
  <r>
    <s v="TXN-2025-652"/>
    <s v="2025-08-22"/>
    <x v="7"/>
    <x v="7"/>
    <s v="  siti RAHMA  "/>
    <s v="Siti Rahma"/>
    <x v="2"/>
    <s v="PROD002"/>
    <n v="2"/>
    <x v="2"/>
    <n v="4500000"/>
    <n v="9000000"/>
    <n v="85000000"/>
  </r>
  <r>
    <s v="TXN-2025-653"/>
    <s v="2025-08-23"/>
    <x v="7"/>
    <x v="7"/>
    <s v="andi WIJAYA"/>
    <s v="Andi Wijaya"/>
    <x v="4"/>
    <s v="PROD009"/>
    <n v="2"/>
    <x v="1"/>
    <n v="650000"/>
    <n v="1300000"/>
    <n v="34000000"/>
  </r>
  <r>
    <s v="TXN-2025-654"/>
    <s v="2025-08-23"/>
    <x v="7"/>
    <x v="7"/>
    <s v="  siti RAHMA  "/>
    <s v="Siti Rahma"/>
    <x v="2"/>
    <s v="PROD003"/>
    <n v="3"/>
    <x v="1"/>
    <n v="1200000"/>
    <n v="3600000"/>
    <n v="34000000"/>
  </r>
  <r>
    <s v="TXN-2025-655"/>
    <s v="2025-08-24"/>
    <x v="7"/>
    <x v="7"/>
    <s v="Bambang H."/>
    <s v="Bambang H."/>
    <x v="0"/>
    <s v="PROD004"/>
    <n v="2"/>
    <x v="1"/>
    <n v="950000"/>
    <n v="1900000"/>
    <n v="34000000"/>
  </r>
  <r>
    <s v="TXN-2025-656"/>
    <s v="2025-08-24"/>
    <x v="7"/>
    <x v="7"/>
    <s v="RINA marlina"/>
    <s v="Rina Marlina"/>
    <x v="3"/>
    <s v="PROD004"/>
    <n v="4"/>
    <x v="1"/>
    <n v="950000"/>
    <n v="3800000"/>
    <n v="34000000"/>
  </r>
  <r>
    <s v="TXN-2025-657"/>
    <s v="2025-08-24"/>
    <x v="7"/>
    <x v="7"/>
    <s v="  Sari Yuliana  "/>
    <s v="Sari Yuliana"/>
    <x v="2"/>
    <s v="PROD010"/>
    <n v="4"/>
    <x v="0"/>
    <n v="350000"/>
    <n v="1400000"/>
    <n v="25500000"/>
  </r>
  <r>
    <s v="TXN-2025-658"/>
    <s v="2025-08-25"/>
    <x v="7"/>
    <x v="7"/>
    <s v="andi WIJAYA"/>
    <s v="Andi Wijaya"/>
    <x v="1"/>
    <s v="PROD009"/>
    <n v="2"/>
    <x v="1"/>
    <n v="650000"/>
    <n v="1300000"/>
    <n v="34000000"/>
  </r>
  <r>
    <s v="TXN-2025-659"/>
    <s v="2025-08-25"/>
    <x v="7"/>
    <x v="7"/>
    <s v="Bambang H."/>
    <s v="Bambang H."/>
    <x v="0"/>
    <s v="PROD005"/>
    <n v="1"/>
    <x v="0"/>
    <n v="250000"/>
    <n v="250000"/>
    <n v="25500000"/>
  </r>
  <r>
    <s v="TXN-2025-660"/>
    <s v="2025-08-25"/>
    <x v="7"/>
    <x v="7"/>
    <s v="  DEWI lestari  "/>
    <s v="Dewi Lestari"/>
    <x v="2"/>
    <s v="PROD006"/>
    <n v="2"/>
    <x v="0"/>
    <n v="280000"/>
    <n v="560000"/>
    <n v="25500000"/>
  </r>
  <r>
    <s v="TXN-2025-661"/>
    <s v="2025-08-26"/>
    <x v="7"/>
    <x v="7"/>
    <s v="Eko Prasetyo"/>
    <s v="Eko Prasetyo"/>
    <x v="3"/>
    <s v="PROD005"/>
    <n v="4"/>
    <x v="0"/>
    <n v="250000"/>
    <n v="1000000"/>
    <n v="25500000"/>
  </r>
  <r>
    <s v="TXN-2025-662"/>
    <s v="2025-08-26"/>
    <x v="7"/>
    <x v="7"/>
    <s v="  siti RAHMA  "/>
    <s v="Siti Rahma"/>
    <x v="1"/>
    <s v="PROD007"/>
    <n v="1"/>
    <x v="2"/>
    <n v="1800000"/>
    <n v="1800000"/>
    <n v="85000000"/>
  </r>
  <r>
    <s v="TXN-2025-663"/>
    <s v="2025-08-26"/>
    <x v="7"/>
    <x v="7"/>
    <s v="  Sari Yuliana  "/>
    <s v="Sari Yuliana"/>
    <x v="3"/>
    <s v="PROD002"/>
    <n v="2"/>
    <x v="2"/>
    <n v="4500000"/>
    <n v="9000000"/>
    <n v="85000000"/>
  </r>
  <r>
    <s v="TXN-2025-664"/>
    <s v="2025-08-27"/>
    <x v="7"/>
    <x v="7"/>
    <s v="  Sari Yuliana  "/>
    <s v="Sari Yuliana"/>
    <x v="0"/>
    <s v="PROD006"/>
    <n v="2"/>
    <x v="0"/>
    <n v="280000"/>
    <n v="560000"/>
    <n v="25500000"/>
  </r>
  <r>
    <s v="TXN-2025-665"/>
    <s v="2025-08-27"/>
    <x v="7"/>
    <x v="7"/>
    <s v="RINA marlina"/>
    <s v="Rina Marlina"/>
    <x v="2"/>
    <s v="PROD007"/>
    <n v="3"/>
    <x v="2"/>
    <n v="1800000"/>
    <n v="5400000"/>
    <n v="85000000"/>
  </r>
  <r>
    <s v="TXN-2025-666"/>
    <s v="2025-08-27"/>
    <x v="7"/>
    <x v="7"/>
    <s v="  siti RAHMA  "/>
    <s v="Siti Rahma"/>
    <x v="3"/>
    <s v="PROD008"/>
    <n v="1"/>
    <x v="2"/>
    <n v="250000"/>
    <n v="250000"/>
    <n v="85000000"/>
  </r>
  <r>
    <s v="TXN-2025-667"/>
    <s v="2025-08-27"/>
    <x v="7"/>
    <x v="7"/>
    <s v="  DEWI lestari  "/>
    <s v="Dewi Lestari"/>
    <x v="0"/>
    <s v="PROD010"/>
    <n v="3"/>
    <x v="0"/>
    <n v="350000"/>
    <n v="1050000"/>
    <n v="25500000"/>
  </r>
  <r>
    <s v="TXN-2025-668"/>
    <s v="2025-08-27"/>
    <x v="7"/>
    <x v="7"/>
    <s v="RINA marlina"/>
    <s v="Rina Marlina"/>
    <x v="1"/>
    <s v="PROD004"/>
    <n v="4"/>
    <x v="1"/>
    <n v="950000"/>
    <n v="3800000"/>
    <n v="34000000"/>
  </r>
  <r>
    <s v="TXN-2025-669"/>
    <s v="2025-08-28"/>
    <x v="7"/>
    <x v="7"/>
    <s v="  Sari Yuliana  "/>
    <s v="Sari Yuliana"/>
    <x v="2"/>
    <s v="PROD004"/>
    <n v="1"/>
    <x v="1"/>
    <n v="950000"/>
    <n v="950000"/>
    <n v="34000000"/>
  </r>
  <r>
    <s v="TXN-2025-670"/>
    <s v="2025-08-28"/>
    <x v="7"/>
    <x v="7"/>
    <s v="  budi santoso  "/>
    <s v="Budi Santoso"/>
    <x v="2"/>
    <s v="PROD005"/>
    <n v="1"/>
    <x v="0"/>
    <n v="250000"/>
    <n v="250000"/>
    <n v="25500000"/>
  </r>
  <r>
    <s v="TXN-2025-671"/>
    <s v="2025-08-28"/>
    <x v="7"/>
    <x v="7"/>
    <s v="  DEWI lestari  "/>
    <s v="Dewi Lestari"/>
    <x v="0"/>
    <s v="PROD002"/>
    <n v="5"/>
    <x v="2"/>
    <n v="4500000"/>
    <n v="22500000"/>
    <n v="85000000"/>
  </r>
  <r>
    <s v="TXN-2025-672"/>
    <s v="2025-08-29"/>
    <x v="7"/>
    <x v="7"/>
    <s v="  Sari Yuliana  "/>
    <s v="Sari Yuliana"/>
    <x v="2"/>
    <s v="PROD001"/>
    <n v="1"/>
    <x v="2"/>
    <n v="7500000"/>
    <n v="7500000"/>
    <n v="85000000"/>
  </r>
  <r>
    <s v="TXN-2025-673"/>
    <s v="2025-08-30"/>
    <x v="7"/>
    <x v="7"/>
    <s v=" mega utami "/>
    <s v="Mega Utami"/>
    <x v="1"/>
    <s v="PROD002"/>
    <n v="4"/>
    <x v="2"/>
    <n v="4500000"/>
    <n v="18000000"/>
    <n v="85000000"/>
  </r>
  <r>
    <s v="TXN-2025-674"/>
    <s v="2025-08-30"/>
    <x v="7"/>
    <x v="7"/>
    <s v=" mega utami "/>
    <s v="Mega Utami"/>
    <x v="1"/>
    <s v="PROD007"/>
    <n v="2"/>
    <x v="2"/>
    <n v="1800000"/>
    <n v="3600000"/>
    <n v="85000000"/>
  </r>
  <r>
    <s v="TXN-2025-675"/>
    <s v="2025-08-30"/>
    <x v="7"/>
    <x v="7"/>
    <s v="andi WIJAYA"/>
    <s v="Andi Wijaya"/>
    <x v="2"/>
    <s v="PROD007"/>
    <n v="1"/>
    <x v="2"/>
    <n v="1800000"/>
    <n v="1800000"/>
    <n v="85000000"/>
  </r>
  <r>
    <s v="TXN-2025-676"/>
    <s v="2025-08-30"/>
    <x v="7"/>
    <x v="7"/>
    <s v="RINA marlina"/>
    <s v="Rina Marlina"/>
    <x v="3"/>
    <s v="PROD007"/>
    <n v="4"/>
    <x v="2"/>
    <n v="1800000"/>
    <n v="7200000"/>
    <n v="85000000"/>
  </r>
  <r>
    <s v="TXN-2025-677"/>
    <s v="2025-08-31"/>
    <x v="7"/>
    <x v="7"/>
    <s v="  Sari Yuliana  "/>
    <s v="Sari Yuliana"/>
    <x v="3"/>
    <s v="PROD009"/>
    <n v="2"/>
    <x v="1"/>
    <n v="650000"/>
    <n v="1300000"/>
    <n v="34000000"/>
  </r>
  <r>
    <s v="TXN-2025-678"/>
    <s v="2025-08-31"/>
    <x v="7"/>
    <x v="7"/>
    <s v="andi WIJAYA"/>
    <s v="Andi Wijaya"/>
    <x v="1"/>
    <s v="PROD008"/>
    <n v="2"/>
    <x v="2"/>
    <n v="250000"/>
    <n v="500000"/>
    <n v="85000000"/>
  </r>
  <r>
    <s v="TXN-2025-679"/>
    <s v="2025-09-01"/>
    <x v="8"/>
    <x v="8"/>
    <s v="RINA marlina"/>
    <s v="Rina Marlina"/>
    <x v="3"/>
    <s v="PROD001"/>
    <n v="1"/>
    <x v="2"/>
    <n v="7500000"/>
    <n v="7500000"/>
    <n v="90000000"/>
  </r>
  <r>
    <s v="TXN-2025-680"/>
    <s v="2025-09-03"/>
    <x v="8"/>
    <x v="8"/>
    <s v="  DEWI lestari  "/>
    <s v="Dewi Lestari"/>
    <x v="0"/>
    <s v="PROD001"/>
    <n v="2"/>
    <x v="2"/>
    <n v="7500000"/>
    <n v="15000000"/>
    <n v="90000000"/>
  </r>
  <r>
    <s v="TXN-2025-681"/>
    <s v="2025-09-03"/>
    <x v="8"/>
    <x v="8"/>
    <s v="  Sari Yuliana  "/>
    <s v="Sari Yuliana"/>
    <x v="4"/>
    <s v="PROD003"/>
    <n v="1"/>
    <x v="1"/>
    <n v="1200000"/>
    <n v="1200000"/>
    <n v="36000000"/>
  </r>
  <r>
    <s v="TXN-2025-682"/>
    <s v="2025-09-04"/>
    <x v="8"/>
    <x v="8"/>
    <s v="RINA marlina"/>
    <s v="Rina Marlina"/>
    <x v="2"/>
    <s v="PROD002"/>
    <n v="1"/>
    <x v="2"/>
    <n v="4500000"/>
    <n v="4500000"/>
    <n v="90000000"/>
  </r>
  <r>
    <s v="TXN-2025-683"/>
    <s v="2025-09-04"/>
    <x v="8"/>
    <x v="8"/>
    <s v="  Sari Yuliana  "/>
    <s v="Sari Yuliana"/>
    <x v="0"/>
    <s v="PROD008"/>
    <n v="5"/>
    <x v="2"/>
    <n v="250000"/>
    <n v="1250000"/>
    <n v="90000000"/>
  </r>
  <r>
    <s v="TXN-2025-684"/>
    <s v="2025-09-04"/>
    <x v="8"/>
    <x v="8"/>
    <s v="  budi santoso  "/>
    <s v="Budi Santoso"/>
    <x v="1"/>
    <s v="PROD007"/>
    <n v="1"/>
    <x v="2"/>
    <n v="1800000"/>
    <n v="1800000"/>
    <n v="90000000"/>
  </r>
  <r>
    <s v="TXN-2025-685"/>
    <s v="2025-09-04"/>
    <x v="8"/>
    <x v="8"/>
    <s v="Eko Prasetyo"/>
    <s v="Eko Prasetyo"/>
    <x v="4"/>
    <s v="PROD006"/>
    <n v="2"/>
    <x v="0"/>
    <n v="280000"/>
    <n v="560000"/>
    <n v="27000000"/>
  </r>
  <r>
    <s v="TXN-2025-686"/>
    <s v="2025-09-04"/>
    <x v="8"/>
    <x v="8"/>
    <s v="Ahmad Fauzi"/>
    <s v="Ahmad Fauzi"/>
    <x v="1"/>
    <s v="PROD010"/>
    <n v="1"/>
    <x v="0"/>
    <n v="350000"/>
    <n v="350000"/>
    <n v="27000000"/>
  </r>
  <r>
    <s v="TXN-2025-687"/>
    <s v="2025-09-04"/>
    <x v="8"/>
    <x v="8"/>
    <s v=" mega utami "/>
    <s v="Mega Utami"/>
    <x v="4"/>
    <s v="PROD002"/>
    <n v="3"/>
    <x v="2"/>
    <n v="4500000"/>
    <n v="13500000"/>
    <n v="90000000"/>
  </r>
  <r>
    <s v="TXN-2025-688"/>
    <s v="2025-09-06"/>
    <x v="8"/>
    <x v="8"/>
    <s v="Eko Prasetyo"/>
    <s v="Eko Prasetyo"/>
    <x v="0"/>
    <s v="PROD009"/>
    <n v="1"/>
    <x v="1"/>
    <n v="650000"/>
    <n v="650000"/>
    <n v="36000000"/>
  </r>
  <r>
    <s v="TXN-2025-689"/>
    <s v="2025-09-06"/>
    <x v="8"/>
    <x v="8"/>
    <s v="RINA marlina"/>
    <s v="Rina Marlina"/>
    <x v="4"/>
    <s v="PROD001"/>
    <n v="5"/>
    <x v="2"/>
    <n v="7500000"/>
    <n v="37500000"/>
    <n v="90000000"/>
  </r>
  <r>
    <s v="TXN-2025-690"/>
    <s v="2025-09-06"/>
    <x v="8"/>
    <x v="8"/>
    <s v="Ahmad Fauzi"/>
    <s v="Ahmad Fauzi"/>
    <x v="3"/>
    <s v="PROD004"/>
    <n v="2"/>
    <x v="1"/>
    <n v="950000"/>
    <n v="1900000"/>
    <n v="36000000"/>
  </r>
  <r>
    <s v="TXN-2025-691"/>
    <s v="2025-09-06"/>
    <x v="8"/>
    <x v="8"/>
    <s v="Eko Prasetyo"/>
    <s v="Eko Prasetyo"/>
    <x v="0"/>
    <s v="PROD004"/>
    <n v="1"/>
    <x v="1"/>
    <n v="950000"/>
    <n v="950000"/>
    <n v="36000000"/>
  </r>
  <r>
    <s v="TXN-2025-692"/>
    <s v="2025-09-07"/>
    <x v="8"/>
    <x v="8"/>
    <s v="  budi santoso  "/>
    <s v="Budi Santoso"/>
    <x v="2"/>
    <s v="PROD010"/>
    <n v="1"/>
    <x v="0"/>
    <n v="350000"/>
    <n v="350000"/>
    <n v="27000000"/>
  </r>
  <r>
    <s v="TXN-2025-693"/>
    <s v="2025-09-07"/>
    <x v="8"/>
    <x v="8"/>
    <s v=" mega utami "/>
    <s v="Mega Utami"/>
    <x v="1"/>
    <s v="PROD008"/>
    <n v="1"/>
    <x v="2"/>
    <n v="250000"/>
    <n v="250000"/>
    <n v="90000000"/>
  </r>
  <r>
    <s v="TXN-2025-694"/>
    <s v="2025-09-07"/>
    <x v="8"/>
    <x v="8"/>
    <s v="Bambang H."/>
    <s v="Bambang H."/>
    <x v="3"/>
    <s v="PROD005"/>
    <n v="2"/>
    <x v="0"/>
    <n v="250000"/>
    <n v="500000"/>
    <n v="27000000"/>
  </r>
  <r>
    <s v="TXN-2025-695"/>
    <s v="2025-09-08"/>
    <x v="8"/>
    <x v="8"/>
    <s v="RINA marlina"/>
    <s v="Rina Marlina"/>
    <x v="2"/>
    <s v="PROD001"/>
    <n v="1"/>
    <x v="2"/>
    <n v="7500000"/>
    <n v="7500000"/>
    <n v="90000000"/>
  </r>
  <r>
    <s v="TXN-2025-696"/>
    <s v="2025-09-08"/>
    <x v="8"/>
    <x v="8"/>
    <s v=" mega utami "/>
    <s v="Mega Utami"/>
    <x v="4"/>
    <s v="PROD002"/>
    <n v="3"/>
    <x v="2"/>
    <n v="4500000"/>
    <n v="13500000"/>
    <n v="90000000"/>
  </r>
  <r>
    <s v="TXN-2025-697"/>
    <s v="2025-09-09"/>
    <x v="8"/>
    <x v="8"/>
    <s v="Eko Prasetyo"/>
    <s v="Eko Prasetyo"/>
    <x v="3"/>
    <s v="PROD005"/>
    <n v="2"/>
    <x v="0"/>
    <n v="250000"/>
    <n v="500000"/>
    <n v="27000000"/>
  </r>
  <r>
    <s v="TXN-2025-698"/>
    <s v="2025-09-09"/>
    <x v="8"/>
    <x v="8"/>
    <s v="Bambang H."/>
    <s v="Bambang H."/>
    <x v="2"/>
    <s v="PROD009"/>
    <n v="1"/>
    <x v="1"/>
    <n v="650000"/>
    <n v="650000"/>
    <n v="36000000"/>
  </r>
  <r>
    <s v="TXN-2025-699"/>
    <s v="2025-09-09"/>
    <x v="8"/>
    <x v="8"/>
    <s v="  siti RAHMA  "/>
    <s v="Siti Rahma"/>
    <x v="0"/>
    <s v="PROD010"/>
    <n v="2"/>
    <x v="0"/>
    <n v="350000"/>
    <n v="700000"/>
    <n v="27000000"/>
  </r>
  <r>
    <s v="TXN-2025-700"/>
    <s v="2025-09-09"/>
    <x v="8"/>
    <x v="8"/>
    <s v=" mega utami "/>
    <s v="Mega Utami"/>
    <x v="4"/>
    <s v="PROD001"/>
    <n v="3"/>
    <x v="2"/>
    <n v="7500000"/>
    <n v="22500000"/>
    <n v="90000000"/>
  </r>
  <r>
    <s v="TXN-2025-701"/>
    <s v="2025-09-09"/>
    <x v="8"/>
    <x v="8"/>
    <s v="  siti RAHMA  "/>
    <s v="Siti Rahma"/>
    <x v="2"/>
    <s v="PROD003"/>
    <n v="1"/>
    <x v="1"/>
    <n v="1200000"/>
    <n v="1200000"/>
    <n v="36000000"/>
  </r>
  <r>
    <s v="TXN-2025-702"/>
    <s v="2025-09-09"/>
    <x v="8"/>
    <x v="8"/>
    <s v="Ahmad Fauzi"/>
    <s v="Ahmad Fauzi"/>
    <x v="4"/>
    <s v="PROD006"/>
    <n v="1"/>
    <x v="0"/>
    <n v="280000"/>
    <n v="280000"/>
    <n v="27000000"/>
  </r>
  <r>
    <s v="TXN-2025-703"/>
    <s v="2025-09-09"/>
    <x v="8"/>
    <x v="8"/>
    <s v="  DEWI lestari  "/>
    <s v="Dewi Lestari"/>
    <x v="2"/>
    <s v="PROD001"/>
    <n v="1"/>
    <x v="2"/>
    <n v="7500000"/>
    <n v="7500000"/>
    <n v="90000000"/>
  </r>
  <r>
    <s v="TXN-2025-704"/>
    <s v="2025-09-10"/>
    <x v="8"/>
    <x v="8"/>
    <s v="  Sari Yuliana  "/>
    <s v="Sari Yuliana"/>
    <x v="1"/>
    <s v="PROD004"/>
    <n v="3"/>
    <x v="1"/>
    <n v="950000"/>
    <n v="2850000"/>
    <n v="36000000"/>
  </r>
  <r>
    <s v="TXN-2025-705"/>
    <s v="2025-09-10"/>
    <x v="8"/>
    <x v="8"/>
    <s v="Ahmad Fauzi"/>
    <s v="Ahmad Fauzi"/>
    <x v="0"/>
    <s v="PROD010"/>
    <n v="2"/>
    <x v="0"/>
    <n v="350000"/>
    <n v="700000"/>
    <n v="27000000"/>
  </r>
  <r>
    <s v="TXN-2025-706"/>
    <s v="2025-09-10"/>
    <x v="8"/>
    <x v="8"/>
    <s v="Bambang H."/>
    <s v="Bambang H."/>
    <x v="3"/>
    <s v="PROD003"/>
    <n v="2"/>
    <x v="1"/>
    <n v="1200000"/>
    <n v="2400000"/>
    <n v="36000000"/>
  </r>
  <r>
    <s v="TXN-2025-707"/>
    <s v="2025-09-10"/>
    <x v="8"/>
    <x v="8"/>
    <s v="Bambang H."/>
    <s v="Bambang H."/>
    <x v="2"/>
    <s v="PROD007"/>
    <n v="3"/>
    <x v="2"/>
    <n v="1800000"/>
    <n v="5400000"/>
    <n v="90000000"/>
  </r>
  <r>
    <s v="TXN-2025-708"/>
    <s v="2025-09-10"/>
    <x v="8"/>
    <x v="8"/>
    <s v=" mega utami "/>
    <s v="Mega Utami"/>
    <x v="4"/>
    <s v="PROD002"/>
    <n v="3"/>
    <x v="2"/>
    <n v="4500000"/>
    <n v="13500000"/>
    <n v="90000000"/>
  </r>
  <r>
    <s v="TXN-2025-709"/>
    <s v="2025-09-10"/>
    <x v="8"/>
    <x v="8"/>
    <s v="  Sari Yuliana  "/>
    <s v="Sari Yuliana"/>
    <x v="0"/>
    <s v="PROD005"/>
    <n v="2"/>
    <x v="0"/>
    <n v="250000"/>
    <n v="500000"/>
    <n v="27000000"/>
  </r>
  <r>
    <s v="TXN-2025-710"/>
    <s v="2025-09-11"/>
    <x v="8"/>
    <x v="8"/>
    <s v="  DEWI lestari  "/>
    <s v="Dewi Lestari"/>
    <x v="3"/>
    <s v="PROD003"/>
    <n v="4"/>
    <x v="1"/>
    <n v="1200000"/>
    <n v="4800000"/>
    <n v="36000000"/>
  </r>
  <r>
    <s v="TXN-2025-711"/>
    <s v="2025-09-11"/>
    <x v="8"/>
    <x v="8"/>
    <s v="Eko Prasetyo"/>
    <s v="Eko Prasetyo"/>
    <x v="4"/>
    <s v="PROD010"/>
    <n v="1"/>
    <x v="0"/>
    <n v="350000"/>
    <n v="350000"/>
    <n v="27000000"/>
  </r>
  <r>
    <s v="TXN-2025-712"/>
    <s v="2025-09-11"/>
    <x v="8"/>
    <x v="8"/>
    <s v="andi WIJAYA"/>
    <s v="Andi Wijaya"/>
    <x v="0"/>
    <s v="PROD004"/>
    <n v="1"/>
    <x v="1"/>
    <n v="950000"/>
    <n v="950000"/>
    <n v="36000000"/>
  </r>
  <r>
    <s v="TXN-2025-713"/>
    <s v="2025-09-12"/>
    <x v="8"/>
    <x v="8"/>
    <s v="RINA marlina"/>
    <s v="Rina Marlina"/>
    <x v="4"/>
    <s v="PROD010"/>
    <n v="1"/>
    <x v="0"/>
    <n v="350000"/>
    <n v="350000"/>
    <n v="27000000"/>
  </r>
  <r>
    <s v="TXN-2025-714"/>
    <s v="2025-09-12"/>
    <x v="8"/>
    <x v="8"/>
    <s v="  DEWI lestari  "/>
    <s v="Dewi Lestari"/>
    <x v="0"/>
    <s v="PROD007"/>
    <n v="1"/>
    <x v="2"/>
    <n v="1800000"/>
    <n v="1800000"/>
    <n v="90000000"/>
  </r>
  <r>
    <s v="TXN-2025-715"/>
    <s v="2025-09-12"/>
    <x v="8"/>
    <x v="8"/>
    <s v="Bambang H."/>
    <s v="Bambang H."/>
    <x v="3"/>
    <s v="PROD009"/>
    <n v="2"/>
    <x v="1"/>
    <n v="650000"/>
    <n v="1300000"/>
    <n v="36000000"/>
  </r>
  <r>
    <s v="TXN-2025-716"/>
    <s v="2025-09-13"/>
    <x v="8"/>
    <x v="8"/>
    <s v="andi WIJAYA"/>
    <s v="Andi Wijaya"/>
    <x v="3"/>
    <s v="PROD006"/>
    <n v="5"/>
    <x v="0"/>
    <n v="280000"/>
    <n v="1400000"/>
    <n v="27000000"/>
  </r>
  <r>
    <s v="TXN-2025-717"/>
    <s v="2025-09-13"/>
    <x v="8"/>
    <x v="8"/>
    <s v="Bambang H."/>
    <s v="Bambang H."/>
    <x v="4"/>
    <s v="PROD007"/>
    <n v="1"/>
    <x v="2"/>
    <n v="1800000"/>
    <n v="1800000"/>
    <n v="90000000"/>
  </r>
  <r>
    <s v="TXN-2025-718"/>
    <s v="2025-09-14"/>
    <x v="8"/>
    <x v="8"/>
    <s v="  Sari Yuliana  "/>
    <s v="Sari Yuliana"/>
    <x v="0"/>
    <s v="PROD003"/>
    <n v="1"/>
    <x v="1"/>
    <n v="1200000"/>
    <n v="1200000"/>
    <n v="36000000"/>
  </r>
  <r>
    <s v="TXN-2025-719"/>
    <s v="2025-09-14"/>
    <x v="8"/>
    <x v="8"/>
    <s v="  Sari Yuliana  "/>
    <s v="Sari Yuliana"/>
    <x v="2"/>
    <s v="PROD002"/>
    <n v="2"/>
    <x v="2"/>
    <n v="4500000"/>
    <n v="9000000"/>
    <n v="90000000"/>
  </r>
  <r>
    <s v="TXN-2025-720"/>
    <s v="2025-09-14"/>
    <x v="8"/>
    <x v="8"/>
    <s v=" mega utami "/>
    <s v="Mega Utami"/>
    <x v="3"/>
    <s v="PROD009"/>
    <n v="5"/>
    <x v="1"/>
    <n v="650000"/>
    <n v="3250000"/>
    <n v="36000000"/>
  </r>
  <r>
    <s v="TXN-2025-721"/>
    <s v="2025-09-15"/>
    <x v="8"/>
    <x v="8"/>
    <s v="Eko Prasetyo"/>
    <s v="Eko Prasetyo"/>
    <x v="2"/>
    <s v="PROD006"/>
    <n v="1"/>
    <x v="0"/>
    <n v="280000"/>
    <n v="280000"/>
    <n v="27000000"/>
  </r>
  <r>
    <s v="TXN-2025-722"/>
    <s v="2025-09-15"/>
    <x v="8"/>
    <x v="8"/>
    <s v="  budi santoso  "/>
    <s v="Budi Santoso"/>
    <x v="2"/>
    <s v="PROD001"/>
    <n v="2"/>
    <x v="2"/>
    <n v="7500000"/>
    <n v="15000000"/>
    <n v="90000000"/>
  </r>
  <r>
    <s v="TXN-2025-723"/>
    <s v="2025-09-16"/>
    <x v="8"/>
    <x v="8"/>
    <s v="Bambang H."/>
    <s v="Bambang H."/>
    <x v="1"/>
    <s v="PROD002"/>
    <n v="1"/>
    <x v="2"/>
    <n v="4500000"/>
    <n v="4500000"/>
    <n v="90000000"/>
  </r>
  <r>
    <s v="TXN-2025-724"/>
    <s v="2025-09-16"/>
    <x v="8"/>
    <x v="8"/>
    <s v="Eko Prasetyo"/>
    <s v="Eko Prasetyo"/>
    <x v="4"/>
    <s v="PROD007"/>
    <n v="1"/>
    <x v="2"/>
    <n v="1800000"/>
    <n v="1800000"/>
    <n v="90000000"/>
  </r>
  <r>
    <s v="TXN-2025-725"/>
    <s v="2025-09-16"/>
    <x v="8"/>
    <x v="8"/>
    <s v="  siti RAHMA  "/>
    <s v="Siti Rahma"/>
    <x v="4"/>
    <s v="PROD004"/>
    <n v="10"/>
    <x v="1"/>
    <n v="950000"/>
    <n v="9500000"/>
    <n v="36000000"/>
  </r>
  <r>
    <s v="TXN-2025-726"/>
    <s v="2025-09-16"/>
    <x v="8"/>
    <x v="8"/>
    <s v="Bambang H."/>
    <s v="Bambang H."/>
    <x v="4"/>
    <s v="PROD002"/>
    <n v="5"/>
    <x v="2"/>
    <n v="4500000"/>
    <n v="22500000"/>
    <n v="90000000"/>
  </r>
  <r>
    <s v="TXN-2025-727"/>
    <s v="2025-09-16"/>
    <x v="8"/>
    <x v="8"/>
    <s v="andi WIJAYA"/>
    <s v="Andi Wijaya"/>
    <x v="0"/>
    <s v="PROD006"/>
    <n v="1"/>
    <x v="0"/>
    <n v="280000"/>
    <n v="280000"/>
    <n v="27000000"/>
  </r>
  <r>
    <s v="TXN-2025-728"/>
    <s v="2025-09-17"/>
    <x v="8"/>
    <x v="8"/>
    <s v="Eko Prasetyo"/>
    <s v="Eko Prasetyo"/>
    <x v="3"/>
    <s v="PROD010"/>
    <n v="5"/>
    <x v="0"/>
    <n v="350000"/>
    <n v="1750000"/>
    <n v="27000000"/>
  </r>
  <r>
    <s v="TXN-2025-729"/>
    <s v="2025-09-17"/>
    <x v="8"/>
    <x v="8"/>
    <s v="  DEWI lestari  "/>
    <s v="Dewi Lestari"/>
    <x v="3"/>
    <s v="PROD010"/>
    <n v="2"/>
    <x v="0"/>
    <n v="350000"/>
    <n v="700000"/>
    <n v="27000000"/>
  </r>
  <r>
    <s v="TXN-2025-730"/>
    <s v="2025-09-18"/>
    <x v="8"/>
    <x v="8"/>
    <s v="Eko Prasetyo"/>
    <s v="Eko Prasetyo"/>
    <x v="1"/>
    <s v="PROD010"/>
    <n v="4"/>
    <x v="0"/>
    <n v="350000"/>
    <n v="1400000"/>
    <n v="27000000"/>
  </r>
  <r>
    <s v="TXN-2025-731"/>
    <s v="2025-09-19"/>
    <x v="8"/>
    <x v="8"/>
    <s v="  DEWI lestari  "/>
    <s v="Dewi Lestari"/>
    <x v="1"/>
    <s v="PROD007"/>
    <n v="2"/>
    <x v="2"/>
    <n v="1800000"/>
    <n v="3600000"/>
    <n v="90000000"/>
  </r>
  <r>
    <s v="TXN-2025-732"/>
    <s v="2025-09-19"/>
    <x v="8"/>
    <x v="8"/>
    <s v="  Sari Yuliana  "/>
    <s v="Sari Yuliana"/>
    <x v="1"/>
    <s v="PROD006"/>
    <n v="2"/>
    <x v="0"/>
    <n v="280000"/>
    <n v="560000"/>
    <n v="27000000"/>
  </r>
  <r>
    <s v="TXN-2025-733"/>
    <s v="2025-09-20"/>
    <x v="8"/>
    <x v="8"/>
    <s v="  DEWI lestari  "/>
    <s v="Dewi Lestari"/>
    <x v="2"/>
    <s v="PROD001"/>
    <n v="2"/>
    <x v="2"/>
    <n v="7500000"/>
    <n v="15000000"/>
    <n v="90000000"/>
  </r>
  <r>
    <s v="TXN-2025-734"/>
    <s v="2025-09-21"/>
    <x v="8"/>
    <x v="8"/>
    <s v="Ahmad Fauzi"/>
    <s v="Ahmad Fauzi"/>
    <x v="4"/>
    <s v="PROD005"/>
    <n v="2"/>
    <x v="0"/>
    <n v="250000"/>
    <n v="500000"/>
    <n v="27000000"/>
  </r>
  <r>
    <s v="TXN-2025-735"/>
    <s v="2025-09-21"/>
    <x v="8"/>
    <x v="8"/>
    <s v="  budi santoso  "/>
    <s v="Budi Santoso"/>
    <x v="0"/>
    <s v="PROD008"/>
    <n v="1"/>
    <x v="2"/>
    <n v="250000"/>
    <n v="250000"/>
    <n v="90000000"/>
  </r>
  <r>
    <s v="TXN-2025-736"/>
    <s v="2025-09-21"/>
    <x v="8"/>
    <x v="8"/>
    <s v="Ahmad Fauzi"/>
    <s v="Ahmad Fauzi"/>
    <x v="3"/>
    <s v="PROD008"/>
    <n v="1"/>
    <x v="2"/>
    <n v="250000"/>
    <n v="250000"/>
    <n v="90000000"/>
  </r>
  <r>
    <s v="TXN-2025-737"/>
    <s v="2025-09-21"/>
    <x v="8"/>
    <x v="8"/>
    <s v="andi WIJAYA"/>
    <s v="Andi Wijaya"/>
    <x v="0"/>
    <s v="PROD004"/>
    <n v="1"/>
    <x v="1"/>
    <n v="950000"/>
    <n v="950000"/>
    <n v="36000000"/>
  </r>
  <r>
    <s v="TXN-2025-738"/>
    <s v="2025-09-21"/>
    <x v="8"/>
    <x v="8"/>
    <s v="RINA marlina"/>
    <s v="Rina Marlina"/>
    <x v="4"/>
    <s v="PROD006"/>
    <n v="3"/>
    <x v="0"/>
    <n v="280000"/>
    <n v="840000"/>
    <n v="27000000"/>
  </r>
  <r>
    <s v="TXN-2025-739"/>
    <s v="2025-09-21"/>
    <x v="8"/>
    <x v="8"/>
    <s v="andi WIJAYA"/>
    <s v="Andi Wijaya"/>
    <x v="4"/>
    <s v="PROD009"/>
    <n v="1"/>
    <x v="1"/>
    <n v="650000"/>
    <n v="650000"/>
    <n v="36000000"/>
  </r>
  <r>
    <s v="TXN-2025-740"/>
    <s v="2025-09-22"/>
    <x v="8"/>
    <x v="8"/>
    <s v=" mega utami "/>
    <s v="Mega Utami"/>
    <x v="3"/>
    <s v="PROD007"/>
    <n v="2"/>
    <x v="2"/>
    <n v="1800000"/>
    <n v="3600000"/>
    <n v="90000000"/>
  </r>
  <r>
    <s v="TXN-2025-741"/>
    <s v="2025-09-22"/>
    <x v="8"/>
    <x v="8"/>
    <s v="Bambang H."/>
    <s v="Bambang H."/>
    <x v="2"/>
    <s v="PROD007"/>
    <n v="5"/>
    <x v="2"/>
    <n v="1800000"/>
    <n v="9000000"/>
    <n v="90000000"/>
  </r>
  <r>
    <s v="TXN-2025-742"/>
    <s v="2025-09-24"/>
    <x v="8"/>
    <x v="8"/>
    <s v="Ahmad Fauzi"/>
    <s v="Ahmad Fauzi"/>
    <x v="1"/>
    <s v="PROD003"/>
    <n v="1"/>
    <x v="1"/>
    <n v="1200000"/>
    <n v="1200000"/>
    <n v="36000000"/>
  </r>
  <r>
    <s v="TXN-2025-743"/>
    <s v="2025-09-24"/>
    <x v="8"/>
    <x v="8"/>
    <s v="andi WIJAYA"/>
    <s v="Andi Wijaya"/>
    <x v="2"/>
    <s v="PROD010"/>
    <n v="2"/>
    <x v="0"/>
    <n v="350000"/>
    <n v="700000"/>
    <n v="27000000"/>
  </r>
  <r>
    <s v="TXN-2025-744"/>
    <s v="2025-09-25"/>
    <x v="8"/>
    <x v="8"/>
    <s v="Bambang H."/>
    <s v="Bambang H."/>
    <x v="4"/>
    <s v="PROD007"/>
    <n v="2"/>
    <x v="2"/>
    <n v="1800000"/>
    <n v="3600000"/>
    <n v="90000000"/>
  </r>
  <r>
    <s v="TXN-2025-745"/>
    <s v="2025-09-25"/>
    <x v="8"/>
    <x v="8"/>
    <s v="Bambang H."/>
    <s v="Bambang H."/>
    <x v="4"/>
    <s v="PROD002"/>
    <n v="4"/>
    <x v="2"/>
    <n v="4500000"/>
    <n v="18000000"/>
    <n v="90000000"/>
  </r>
  <r>
    <s v="TXN-2025-746"/>
    <s v="2025-09-25"/>
    <x v="8"/>
    <x v="8"/>
    <s v="Bambang H."/>
    <s v="Bambang H."/>
    <x v="2"/>
    <s v="PROD010"/>
    <n v="1"/>
    <x v="0"/>
    <n v="350000"/>
    <n v="350000"/>
    <n v="27000000"/>
  </r>
  <r>
    <s v="TXN-2025-747"/>
    <s v="2025-09-25"/>
    <x v="8"/>
    <x v="8"/>
    <s v="  budi santoso  "/>
    <s v="Budi Santoso"/>
    <x v="1"/>
    <s v="PROD005"/>
    <n v="2"/>
    <x v="0"/>
    <n v="250000"/>
    <n v="500000"/>
    <n v="27000000"/>
  </r>
  <r>
    <s v="TXN-2025-748"/>
    <s v="2025-09-25"/>
    <x v="8"/>
    <x v="8"/>
    <s v="RINA marlina"/>
    <s v="Rina Marlina"/>
    <x v="1"/>
    <s v="PROD004"/>
    <n v="3"/>
    <x v="1"/>
    <n v="950000"/>
    <n v="2850000"/>
    <n v="36000000"/>
  </r>
  <r>
    <s v="TXN-2025-749"/>
    <s v="2025-09-26"/>
    <x v="8"/>
    <x v="8"/>
    <s v="  DEWI lestari  "/>
    <s v="Dewi Lestari"/>
    <x v="4"/>
    <s v="PROD002"/>
    <n v="5"/>
    <x v="2"/>
    <n v="4500000"/>
    <n v="22500000"/>
    <n v="90000000"/>
  </r>
  <r>
    <s v="TXN-2025-750"/>
    <s v="2025-09-27"/>
    <x v="8"/>
    <x v="8"/>
    <s v="andi WIJAYA"/>
    <s v="Andi Wijaya"/>
    <x v="1"/>
    <s v="PROD002"/>
    <n v="2"/>
    <x v="2"/>
    <n v="4500000"/>
    <n v="9000000"/>
    <n v="90000000"/>
  </r>
  <r>
    <s v="TXN-2025-751"/>
    <s v="2025-09-28"/>
    <x v="8"/>
    <x v="8"/>
    <s v=" mega utami "/>
    <s v="Mega Utami"/>
    <x v="1"/>
    <s v="PROD005"/>
    <n v="2"/>
    <x v="0"/>
    <n v="250000"/>
    <n v="500000"/>
    <n v="27000000"/>
  </r>
  <r>
    <s v="TXN-2025-752"/>
    <s v="2025-09-28"/>
    <x v="8"/>
    <x v="8"/>
    <s v="andi WIJAYA"/>
    <s v="Andi Wijaya"/>
    <x v="3"/>
    <s v="PROD003"/>
    <n v="2"/>
    <x v="1"/>
    <n v="1200000"/>
    <n v="2400000"/>
    <n v="36000000"/>
  </r>
  <r>
    <s v="TXN-2025-753"/>
    <s v="2025-09-28"/>
    <x v="8"/>
    <x v="8"/>
    <s v="  DEWI lestari  "/>
    <s v="Dewi Lestari"/>
    <x v="3"/>
    <s v="PROD007"/>
    <n v="4"/>
    <x v="2"/>
    <n v="1800000"/>
    <n v="7200000"/>
    <n v="90000000"/>
  </r>
  <r>
    <s v="TXN-2025-754"/>
    <s v="2025-09-28"/>
    <x v="8"/>
    <x v="8"/>
    <s v="  Sari Yuliana  "/>
    <s v="Sari Yuliana"/>
    <x v="0"/>
    <s v="PROD003"/>
    <n v="2"/>
    <x v="1"/>
    <n v="1200000"/>
    <n v="2400000"/>
    <n v="36000000"/>
  </r>
  <r>
    <s v="TXN-2025-755"/>
    <s v="2025-09-29"/>
    <x v="8"/>
    <x v="8"/>
    <s v="Eko Prasetyo"/>
    <s v="Eko Prasetyo"/>
    <x v="2"/>
    <s v="PROD007"/>
    <n v="1"/>
    <x v="2"/>
    <n v="1800000"/>
    <n v="1800000"/>
    <n v="90000000"/>
  </r>
  <r>
    <s v="TXN-2025-756"/>
    <s v="2025-09-29"/>
    <x v="8"/>
    <x v="8"/>
    <s v="Bambang H."/>
    <s v="Bambang H."/>
    <x v="4"/>
    <s v="PROD006"/>
    <n v="5"/>
    <x v="0"/>
    <n v="280000"/>
    <n v="1400000"/>
    <n v="27000000"/>
  </r>
  <r>
    <s v="TXN-2025-757"/>
    <s v="2025-09-30"/>
    <x v="8"/>
    <x v="8"/>
    <s v="Ahmad Fauzi"/>
    <s v="Ahmad Fauzi"/>
    <x v="1"/>
    <s v="PROD006"/>
    <n v="2"/>
    <x v="0"/>
    <n v="280000"/>
    <n v="560000"/>
    <n v="27000000"/>
  </r>
  <r>
    <s v="TXN-2025-758"/>
    <s v="2025-09-30"/>
    <x v="8"/>
    <x v="8"/>
    <s v="Ahmad Fauzi"/>
    <s v="Ahmad Fauzi"/>
    <x v="0"/>
    <s v="PROD002"/>
    <n v="2"/>
    <x v="2"/>
    <n v="4500000"/>
    <n v="9000000"/>
    <n v="90000000"/>
  </r>
  <r>
    <s v="TXN-2025-759"/>
    <s v="2025-09-30"/>
    <x v="8"/>
    <x v="8"/>
    <s v="Eko Prasetyo"/>
    <s v="Eko Prasetyo"/>
    <x v="3"/>
    <s v="PROD002"/>
    <n v="1"/>
    <x v="2"/>
    <n v="4500000"/>
    <n v="4500000"/>
    <n v="90000000"/>
  </r>
  <r>
    <s v="TXN-2025-760"/>
    <s v="2025-09-30"/>
    <x v="8"/>
    <x v="8"/>
    <s v=" mega utami "/>
    <s v="Mega Utami"/>
    <x v="1"/>
    <s v="PROD001"/>
    <n v="2"/>
    <x v="2"/>
    <n v="7500000"/>
    <n v="15000000"/>
    <n v="90000000"/>
  </r>
  <r>
    <s v="TXN-2025-761"/>
    <s v="2025-10-01"/>
    <x v="9"/>
    <x v="9"/>
    <s v="Ahmad Fauzi"/>
    <s v="Ahmad Fauzi"/>
    <x v="2"/>
    <s v="PROD005"/>
    <n v="1"/>
    <x v="0"/>
    <n v="250000"/>
    <n v="250000"/>
    <n v="28500000"/>
  </r>
  <r>
    <s v="TXN-2025-762"/>
    <s v="2025-10-01"/>
    <x v="9"/>
    <x v="9"/>
    <s v="Eko Prasetyo"/>
    <s v="Eko Prasetyo"/>
    <x v="3"/>
    <s v="PROD008"/>
    <n v="2"/>
    <x v="2"/>
    <n v="250000"/>
    <n v="500000"/>
    <n v="95000000"/>
  </r>
  <r>
    <s v="TXN-2025-763"/>
    <s v="2025-10-02"/>
    <x v="9"/>
    <x v="9"/>
    <s v="Eko Prasetyo"/>
    <s v="Eko Prasetyo"/>
    <x v="4"/>
    <s v="PROD006"/>
    <n v="1"/>
    <x v="0"/>
    <n v="280000"/>
    <n v="280000"/>
    <n v="28500000"/>
  </r>
  <r>
    <s v="TXN-2025-764"/>
    <s v="2025-10-02"/>
    <x v="9"/>
    <x v="9"/>
    <s v="Bambang H."/>
    <s v="Bambang H."/>
    <x v="1"/>
    <s v="PROD005"/>
    <n v="2"/>
    <x v="0"/>
    <n v="250000"/>
    <n v="500000"/>
    <n v="28500000"/>
  </r>
  <r>
    <s v="TXN-2025-765"/>
    <s v="2025-10-02"/>
    <x v="9"/>
    <x v="9"/>
    <s v="  DEWI lestari  "/>
    <s v="Dewi Lestari"/>
    <x v="0"/>
    <s v="PROD002"/>
    <n v="10"/>
    <x v="2"/>
    <n v="4500000"/>
    <n v="45000000"/>
    <n v="95000000"/>
  </r>
  <r>
    <s v="TXN-2025-766"/>
    <s v="2025-10-04"/>
    <x v="9"/>
    <x v="9"/>
    <s v="  DEWI lestari  "/>
    <s v="Dewi Lestari"/>
    <x v="4"/>
    <s v="PROD003"/>
    <n v="1"/>
    <x v="1"/>
    <n v="1200000"/>
    <n v="1200000"/>
    <n v="38000000"/>
  </r>
  <r>
    <s v="TXN-2025-767"/>
    <s v="2025-10-04"/>
    <x v="9"/>
    <x v="9"/>
    <s v="  DEWI lestari  "/>
    <s v="Dewi Lestari"/>
    <x v="1"/>
    <s v="PROD002"/>
    <n v="5"/>
    <x v="2"/>
    <n v="4500000"/>
    <n v="22500000"/>
    <n v="95000000"/>
  </r>
  <r>
    <s v="TXN-2025-768"/>
    <s v="2025-10-04"/>
    <x v="9"/>
    <x v="9"/>
    <s v="andi WIJAYA"/>
    <s v="Andi Wijaya"/>
    <x v="1"/>
    <s v="PROD003"/>
    <n v="2"/>
    <x v="1"/>
    <n v="1200000"/>
    <n v="2400000"/>
    <n v="38000000"/>
  </r>
  <r>
    <s v="TXN-2025-769"/>
    <s v="2025-10-04"/>
    <x v="9"/>
    <x v="9"/>
    <s v="RINA marlina"/>
    <s v="Rina Marlina"/>
    <x v="1"/>
    <s v="PROD007"/>
    <n v="4"/>
    <x v="2"/>
    <n v="1800000"/>
    <n v="7200000"/>
    <n v="95000000"/>
  </r>
  <r>
    <s v="TXN-2025-770"/>
    <s v="2025-10-04"/>
    <x v="9"/>
    <x v="9"/>
    <s v="andi WIJAYA"/>
    <s v="Andi Wijaya"/>
    <x v="1"/>
    <s v="PROD008"/>
    <n v="3"/>
    <x v="2"/>
    <n v="250000"/>
    <n v="750000"/>
    <n v="95000000"/>
  </r>
  <r>
    <s v="TXN-2025-771"/>
    <s v="2025-10-04"/>
    <x v="9"/>
    <x v="9"/>
    <s v="Eko Prasetyo"/>
    <s v="Eko Prasetyo"/>
    <x v="1"/>
    <s v="PROD009"/>
    <n v="2"/>
    <x v="1"/>
    <n v="650000"/>
    <n v="1300000"/>
    <n v="38000000"/>
  </r>
  <r>
    <s v="TXN-2025-772"/>
    <s v="2025-10-05"/>
    <x v="9"/>
    <x v="9"/>
    <s v="RINA marlina"/>
    <s v="Rina Marlina"/>
    <x v="4"/>
    <s v="PROD009"/>
    <n v="3"/>
    <x v="1"/>
    <n v="650000"/>
    <n v="1950000"/>
    <n v="38000000"/>
  </r>
  <r>
    <s v="TXN-2025-773"/>
    <s v="2025-10-06"/>
    <x v="9"/>
    <x v="9"/>
    <s v="Ahmad Fauzi"/>
    <s v="Ahmad Fauzi"/>
    <x v="2"/>
    <s v="PROD009"/>
    <n v="4"/>
    <x v="1"/>
    <n v="650000"/>
    <n v="2600000"/>
    <n v="38000000"/>
  </r>
  <r>
    <s v="TXN-2025-774"/>
    <s v="2025-10-06"/>
    <x v="9"/>
    <x v="9"/>
    <s v="  siti RAHMA  "/>
    <s v="Siti Rahma"/>
    <x v="2"/>
    <s v="PROD007"/>
    <n v="2"/>
    <x v="2"/>
    <n v="1800000"/>
    <n v="3600000"/>
    <n v="95000000"/>
  </r>
  <r>
    <s v="TXN-2025-775"/>
    <s v="2025-10-07"/>
    <x v="9"/>
    <x v="9"/>
    <s v="andi WIJAYA"/>
    <s v="Andi Wijaya"/>
    <x v="4"/>
    <s v="PROD002"/>
    <n v="1"/>
    <x v="2"/>
    <n v="4500000"/>
    <n v="4500000"/>
    <n v="95000000"/>
  </r>
  <r>
    <s v="TXN-2025-776"/>
    <s v="2025-10-07"/>
    <x v="9"/>
    <x v="9"/>
    <s v="andi WIJAYA"/>
    <s v="Andi Wijaya"/>
    <x v="2"/>
    <s v="PROD001"/>
    <n v="2"/>
    <x v="2"/>
    <n v="7500000"/>
    <n v="15000000"/>
    <n v="95000000"/>
  </r>
  <r>
    <s v="TXN-2025-777"/>
    <s v="2025-10-07"/>
    <x v="9"/>
    <x v="9"/>
    <s v="Bambang H."/>
    <s v="Bambang H."/>
    <x v="0"/>
    <s v="PROD002"/>
    <n v="3"/>
    <x v="2"/>
    <n v="4500000"/>
    <n v="13500000"/>
    <n v="95000000"/>
  </r>
  <r>
    <s v="TXN-2025-778"/>
    <s v="2025-10-07"/>
    <x v="9"/>
    <x v="9"/>
    <s v="  DEWI lestari  "/>
    <s v="Dewi Lestari"/>
    <x v="0"/>
    <s v="PROD006"/>
    <n v="3"/>
    <x v="0"/>
    <n v="280000"/>
    <n v="840000"/>
    <n v="28500000"/>
  </r>
  <r>
    <s v="TXN-2025-779"/>
    <s v="2025-10-07"/>
    <x v="9"/>
    <x v="9"/>
    <s v="  Sari Yuliana  "/>
    <s v="Sari Yuliana"/>
    <x v="4"/>
    <s v="PROD009"/>
    <n v="3"/>
    <x v="1"/>
    <n v="650000"/>
    <n v="1950000"/>
    <n v="38000000"/>
  </r>
  <r>
    <s v="TXN-2025-780"/>
    <s v="2025-10-08"/>
    <x v="9"/>
    <x v="9"/>
    <s v="Ahmad Fauzi"/>
    <s v="Ahmad Fauzi"/>
    <x v="0"/>
    <s v="PROD002"/>
    <n v="2"/>
    <x v="2"/>
    <n v="4500000"/>
    <n v="9000000"/>
    <n v="95000000"/>
  </r>
  <r>
    <s v="TXN-2025-781"/>
    <s v="2025-10-08"/>
    <x v="9"/>
    <x v="9"/>
    <s v="  Sari Yuliana  "/>
    <s v="Sari Yuliana"/>
    <x v="4"/>
    <s v="PROD010"/>
    <n v="3"/>
    <x v="0"/>
    <n v="350000"/>
    <n v="1050000"/>
    <n v="28500000"/>
  </r>
  <r>
    <s v="TXN-2025-782"/>
    <s v="2025-10-09"/>
    <x v="9"/>
    <x v="9"/>
    <s v="  DEWI lestari  "/>
    <s v="Dewi Lestari"/>
    <x v="0"/>
    <s v="PROD010"/>
    <n v="1"/>
    <x v="0"/>
    <n v="350000"/>
    <n v="350000"/>
    <n v="28500000"/>
  </r>
  <r>
    <s v="TXN-2025-783"/>
    <s v="2025-10-09"/>
    <x v="9"/>
    <x v="9"/>
    <s v="RINA marlina"/>
    <s v="Rina Marlina"/>
    <x v="3"/>
    <s v="PROD006"/>
    <n v="2"/>
    <x v="0"/>
    <n v="280000"/>
    <n v="560000"/>
    <n v="28500000"/>
  </r>
  <r>
    <s v="TXN-2025-784"/>
    <s v="2025-10-09"/>
    <x v="9"/>
    <x v="9"/>
    <s v="andi WIJAYA"/>
    <s v="Andi Wijaya"/>
    <x v="4"/>
    <s v="PROD007"/>
    <n v="1"/>
    <x v="2"/>
    <n v="1800000"/>
    <n v="1800000"/>
    <n v="95000000"/>
  </r>
  <r>
    <s v="TXN-2025-785"/>
    <s v="2025-10-10"/>
    <x v="9"/>
    <x v="9"/>
    <s v="  DEWI lestari  "/>
    <s v="Dewi Lestari"/>
    <x v="1"/>
    <s v="PROD001"/>
    <n v="1"/>
    <x v="2"/>
    <n v="7500000"/>
    <n v="7500000"/>
    <n v="95000000"/>
  </r>
  <r>
    <s v="TXN-2025-786"/>
    <s v="2025-10-10"/>
    <x v="9"/>
    <x v="9"/>
    <s v="andi WIJAYA"/>
    <s v="Andi Wijaya"/>
    <x v="0"/>
    <s v="PROD005"/>
    <n v="1"/>
    <x v="0"/>
    <n v="250000"/>
    <n v="250000"/>
    <n v="28500000"/>
  </r>
  <r>
    <s v="TXN-2025-787"/>
    <s v="2025-10-10"/>
    <x v="9"/>
    <x v="9"/>
    <s v="Eko Prasetyo"/>
    <s v="Eko Prasetyo"/>
    <x v="3"/>
    <s v="PROD007"/>
    <n v="1"/>
    <x v="2"/>
    <n v="1800000"/>
    <n v="1800000"/>
    <n v="95000000"/>
  </r>
  <r>
    <s v="TXN-2025-788"/>
    <s v="2025-10-10"/>
    <x v="9"/>
    <x v="9"/>
    <s v="  siti RAHMA  "/>
    <s v="Siti Rahma"/>
    <x v="4"/>
    <s v="PROD007"/>
    <n v="2"/>
    <x v="2"/>
    <n v="1800000"/>
    <n v="3600000"/>
    <n v="95000000"/>
  </r>
  <r>
    <s v="TXN-2025-789"/>
    <s v="2025-10-10"/>
    <x v="9"/>
    <x v="9"/>
    <s v="  DEWI lestari  "/>
    <s v="Dewi Lestari"/>
    <x v="0"/>
    <s v="PROD002"/>
    <n v="1"/>
    <x v="2"/>
    <n v="4500000"/>
    <n v="4500000"/>
    <n v="95000000"/>
  </r>
  <r>
    <s v="TXN-2025-790"/>
    <s v="2025-10-11"/>
    <x v="9"/>
    <x v="9"/>
    <s v="  budi santoso  "/>
    <s v="Budi Santoso"/>
    <x v="1"/>
    <s v="PROD009"/>
    <n v="2"/>
    <x v="1"/>
    <n v="650000"/>
    <n v="1300000"/>
    <n v="38000000"/>
  </r>
  <r>
    <s v="TXN-2025-791"/>
    <s v="2025-10-11"/>
    <x v="9"/>
    <x v="9"/>
    <s v="Ahmad Fauzi"/>
    <s v="Ahmad Fauzi"/>
    <x v="0"/>
    <s v="PROD004"/>
    <n v="1"/>
    <x v="1"/>
    <n v="950000"/>
    <n v="950000"/>
    <n v="38000000"/>
  </r>
  <r>
    <s v="TXN-2025-792"/>
    <s v="2025-10-11"/>
    <x v="9"/>
    <x v="9"/>
    <s v="  siti RAHMA  "/>
    <s v="Siti Rahma"/>
    <x v="3"/>
    <s v="PROD010"/>
    <n v="1"/>
    <x v="0"/>
    <n v="350000"/>
    <n v="350000"/>
    <n v="28500000"/>
  </r>
  <r>
    <s v="TXN-2025-793"/>
    <s v="2025-10-11"/>
    <x v="9"/>
    <x v="9"/>
    <s v="  DEWI lestari  "/>
    <s v="Dewi Lestari"/>
    <x v="2"/>
    <s v="PROD009"/>
    <n v="1"/>
    <x v="1"/>
    <n v="650000"/>
    <n v="650000"/>
    <n v="38000000"/>
  </r>
  <r>
    <s v="TXN-2025-794"/>
    <s v="2025-10-12"/>
    <x v="9"/>
    <x v="9"/>
    <s v="  budi santoso  "/>
    <s v="Budi Santoso"/>
    <x v="2"/>
    <s v="PROD003"/>
    <n v="1"/>
    <x v="1"/>
    <n v="1200000"/>
    <n v="1200000"/>
    <n v="38000000"/>
  </r>
  <r>
    <s v="TXN-2025-795"/>
    <s v="2025-10-12"/>
    <x v="9"/>
    <x v="9"/>
    <s v="  budi santoso  "/>
    <s v="Budi Santoso"/>
    <x v="3"/>
    <s v="PROD007"/>
    <n v="2"/>
    <x v="2"/>
    <n v="1800000"/>
    <n v="3600000"/>
    <n v="95000000"/>
  </r>
  <r>
    <s v="TXN-2025-796"/>
    <s v="2025-10-12"/>
    <x v="9"/>
    <x v="9"/>
    <s v="Ahmad Fauzi"/>
    <s v="Ahmad Fauzi"/>
    <x v="3"/>
    <s v="PROD003"/>
    <n v="2"/>
    <x v="1"/>
    <n v="1200000"/>
    <n v="2400000"/>
    <n v="38000000"/>
  </r>
  <r>
    <s v="TXN-2025-797"/>
    <s v="2025-10-13"/>
    <x v="9"/>
    <x v="9"/>
    <s v="  DEWI lestari  "/>
    <s v="Dewi Lestari"/>
    <x v="4"/>
    <s v="PROD003"/>
    <n v="2"/>
    <x v="1"/>
    <n v="1200000"/>
    <n v="2400000"/>
    <n v="38000000"/>
  </r>
  <r>
    <s v="TXN-2025-798"/>
    <s v="2025-10-13"/>
    <x v="9"/>
    <x v="9"/>
    <s v="  siti RAHMA  "/>
    <s v="Siti Rahma"/>
    <x v="2"/>
    <s v="PROD005"/>
    <n v="2"/>
    <x v="0"/>
    <n v="250000"/>
    <n v="500000"/>
    <n v="28500000"/>
  </r>
  <r>
    <s v="TXN-2025-799"/>
    <s v="2025-10-13"/>
    <x v="9"/>
    <x v="9"/>
    <s v="Bambang H."/>
    <s v="Bambang H."/>
    <x v="4"/>
    <s v="PROD005"/>
    <n v="1"/>
    <x v="0"/>
    <n v="250000"/>
    <n v="250000"/>
    <n v="28500000"/>
  </r>
  <r>
    <s v="TXN-2025-800"/>
    <s v="2025-10-13"/>
    <x v="9"/>
    <x v="9"/>
    <s v="RINA marlina"/>
    <s v="Rina Marlina"/>
    <x v="0"/>
    <s v="PROD005"/>
    <n v="4"/>
    <x v="0"/>
    <n v="250000"/>
    <n v="1000000"/>
    <n v="28500000"/>
  </r>
  <r>
    <s v="TXN-2025-801"/>
    <s v="2025-10-13"/>
    <x v="9"/>
    <x v="9"/>
    <s v="  budi santoso  "/>
    <s v="Budi Santoso"/>
    <x v="3"/>
    <s v="PROD008"/>
    <n v="2"/>
    <x v="2"/>
    <n v="250000"/>
    <n v="500000"/>
    <n v="95000000"/>
  </r>
  <r>
    <s v="TXN-2025-802"/>
    <s v="2025-10-15"/>
    <x v="9"/>
    <x v="9"/>
    <s v="  Sari Yuliana  "/>
    <s v="Sari Yuliana"/>
    <x v="4"/>
    <s v="PROD003"/>
    <n v="2"/>
    <x v="1"/>
    <n v="1200000"/>
    <n v="2400000"/>
    <n v="38000000"/>
  </r>
  <r>
    <s v="TXN-2025-803"/>
    <s v="2025-10-15"/>
    <x v="9"/>
    <x v="9"/>
    <s v="  DEWI lestari  "/>
    <s v="Dewi Lestari"/>
    <x v="3"/>
    <s v="PROD002"/>
    <n v="1"/>
    <x v="2"/>
    <n v="4500000"/>
    <n v="4500000"/>
    <n v="95000000"/>
  </r>
  <r>
    <s v="TXN-2025-804"/>
    <s v="2025-10-15"/>
    <x v="9"/>
    <x v="9"/>
    <s v="Bambang H."/>
    <s v="Bambang H."/>
    <x v="4"/>
    <s v="PROD003"/>
    <n v="1"/>
    <x v="1"/>
    <n v="1200000"/>
    <n v="1200000"/>
    <n v="38000000"/>
  </r>
  <r>
    <s v="TXN-2025-805"/>
    <s v="2025-10-16"/>
    <x v="9"/>
    <x v="9"/>
    <s v="Bambang H."/>
    <s v="Bambang H."/>
    <x v="0"/>
    <s v="PROD007"/>
    <n v="1"/>
    <x v="2"/>
    <n v="1800000"/>
    <n v="1800000"/>
    <n v="95000000"/>
  </r>
  <r>
    <s v="TXN-2025-806"/>
    <s v="2025-10-16"/>
    <x v="9"/>
    <x v="9"/>
    <s v="Bambang H."/>
    <s v="Bambang H."/>
    <x v="0"/>
    <s v="PROD005"/>
    <n v="1"/>
    <x v="0"/>
    <n v="250000"/>
    <n v="250000"/>
    <n v="28500000"/>
  </r>
  <r>
    <s v="TXN-2025-807"/>
    <s v="2025-10-16"/>
    <x v="9"/>
    <x v="9"/>
    <s v="Eko Prasetyo"/>
    <s v="Eko Prasetyo"/>
    <x v="1"/>
    <s v="PROD007"/>
    <n v="2"/>
    <x v="2"/>
    <n v="1800000"/>
    <n v="3600000"/>
    <n v="95000000"/>
  </r>
  <r>
    <s v="TXN-2025-808"/>
    <s v="2025-10-16"/>
    <x v="9"/>
    <x v="9"/>
    <s v="  siti RAHMA  "/>
    <s v="Siti Rahma"/>
    <x v="2"/>
    <s v="PROD005"/>
    <n v="2"/>
    <x v="0"/>
    <n v="250000"/>
    <n v="500000"/>
    <n v="28500000"/>
  </r>
  <r>
    <s v="TXN-2025-809"/>
    <s v="2025-10-16"/>
    <x v="9"/>
    <x v="9"/>
    <s v="  budi santoso  "/>
    <s v="Budi Santoso"/>
    <x v="1"/>
    <s v="PROD008"/>
    <n v="2"/>
    <x v="2"/>
    <n v="250000"/>
    <n v="500000"/>
    <n v="95000000"/>
  </r>
  <r>
    <s v="TXN-2025-810"/>
    <s v="2025-10-17"/>
    <x v="9"/>
    <x v="9"/>
    <s v="  DEWI lestari  "/>
    <s v="Dewi Lestari"/>
    <x v="2"/>
    <s v="PROD002"/>
    <n v="3"/>
    <x v="2"/>
    <n v="4500000"/>
    <n v="13500000"/>
    <n v="95000000"/>
  </r>
  <r>
    <s v="TXN-2025-811"/>
    <s v="2025-10-17"/>
    <x v="9"/>
    <x v="9"/>
    <s v="Bambang H."/>
    <s v="Bambang H."/>
    <x v="0"/>
    <s v="PROD006"/>
    <n v="3"/>
    <x v="0"/>
    <n v="280000"/>
    <n v="840000"/>
    <n v="28500000"/>
  </r>
  <r>
    <s v="TXN-2025-812"/>
    <s v="2025-10-19"/>
    <x v="9"/>
    <x v="9"/>
    <s v="RINA marlina"/>
    <s v="Rina Marlina"/>
    <x v="4"/>
    <s v="PROD005"/>
    <n v="3"/>
    <x v="0"/>
    <n v="250000"/>
    <n v="750000"/>
    <n v="28500000"/>
  </r>
  <r>
    <s v="TXN-2025-813"/>
    <s v="2025-10-19"/>
    <x v="9"/>
    <x v="9"/>
    <s v="RINA marlina"/>
    <s v="Rina Marlina"/>
    <x v="3"/>
    <s v="PROD004"/>
    <n v="5"/>
    <x v="1"/>
    <n v="950000"/>
    <n v="4750000"/>
    <n v="38000000"/>
  </r>
  <r>
    <s v="TXN-2025-814"/>
    <s v="2025-10-20"/>
    <x v="9"/>
    <x v="9"/>
    <s v=" mega utami "/>
    <s v="Mega Utami"/>
    <x v="0"/>
    <s v="PROD008"/>
    <n v="1"/>
    <x v="2"/>
    <n v="250000"/>
    <n v="250000"/>
    <n v="95000000"/>
  </r>
  <r>
    <s v="TXN-2025-815"/>
    <s v="2025-10-20"/>
    <x v="9"/>
    <x v="9"/>
    <s v="Bambang H."/>
    <s v="Bambang H."/>
    <x v="0"/>
    <s v="PROD010"/>
    <n v="1"/>
    <x v="0"/>
    <n v="350000"/>
    <n v="350000"/>
    <n v="28500000"/>
  </r>
  <r>
    <s v="TXN-2025-816"/>
    <s v="2025-10-21"/>
    <x v="9"/>
    <x v="9"/>
    <s v="RINA marlina"/>
    <s v="Rina Marlina"/>
    <x v="4"/>
    <s v="PROD010"/>
    <n v="1"/>
    <x v="0"/>
    <n v="350000"/>
    <n v="350000"/>
    <n v="28500000"/>
  </r>
  <r>
    <s v="TXN-2025-817"/>
    <s v="2025-10-21"/>
    <x v="9"/>
    <x v="9"/>
    <s v="  Sari Yuliana  "/>
    <s v="Sari Yuliana"/>
    <x v="0"/>
    <s v="PROD004"/>
    <n v="2"/>
    <x v="1"/>
    <n v="950000"/>
    <n v="1900000"/>
    <n v="38000000"/>
  </r>
  <r>
    <s v="TXN-2025-818"/>
    <s v="2025-10-21"/>
    <x v="9"/>
    <x v="9"/>
    <s v="  budi santoso  "/>
    <s v="Budi Santoso"/>
    <x v="0"/>
    <s v="PROD008"/>
    <n v="4"/>
    <x v="2"/>
    <n v="250000"/>
    <n v="1000000"/>
    <n v="95000000"/>
  </r>
  <r>
    <s v="TXN-2025-819"/>
    <s v="2025-10-21"/>
    <x v="9"/>
    <x v="9"/>
    <s v="  siti RAHMA  "/>
    <s v="Siti Rahma"/>
    <x v="4"/>
    <s v="PROD002"/>
    <n v="1"/>
    <x v="2"/>
    <n v="4500000"/>
    <n v="4500000"/>
    <n v="95000000"/>
  </r>
  <r>
    <s v="TXN-2025-820"/>
    <s v="2025-10-22"/>
    <x v="9"/>
    <x v="9"/>
    <s v="  siti RAHMA  "/>
    <s v="Siti Rahma"/>
    <x v="0"/>
    <s v="PROD003"/>
    <n v="4"/>
    <x v="1"/>
    <n v="1200000"/>
    <n v="4800000"/>
    <n v="38000000"/>
  </r>
  <r>
    <s v="TXN-2025-821"/>
    <s v="2025-10-23"/>
    <x v="9"/>
    <x v="9"/>
    <s v="  Sari Yuliana  "/>
    <s v="Sari Yuliana"/>
    <x v="2"/>
    <s v="PROD005"/>
    <n v="1"/>
    <x v="0"/>
    <n v="250000"/>
    <n v="250000"/>
    <n v="28500000"/>
  </r>
  <r>
    <s v="TXN-2025-822"/>
    <s v="2025-10-25"/>
    <x v="9"/>
    <x v="9"/>
    <s v="  DEWI lestari  "/>
    <s v="Dewi Lestari"/>
    <x v="2"/>
    <s v="PROD001"/>
    <n v="5"/>
    <x v="2"/>
    <n v="7500000"/>
    <n v="37500000"/>
    <n v="95000000"/>
  </r>
  <r>
    <s v="TXN-2025-823"/>
    <s v="2025-10-26"/>
    <x v="9"/>
    <x v="9"/>
    <s v="RINA marlina"/>
    <s v="Rina Marlina"/>
    <x v="2"/>
    <s v="PROD007"/>
    <n v="1"/>
    <x v="2"/>
    <n v="1800000"/>
    <n v="1800000"/>
    <n v="95000000"/>
  </r>
  <r>
    <s v="TXN-2025-824"/>
    <s v="2025-10-27"/>
    <x v="9"/>
    <x v="9"/>
    <s v="andi WIJAYA"/>
    <s v="Andi Wijaya"/>
    <x v="2"/>
    <s v="PROD006"/>
    <n v="1"/>
    <x v="0"/>
    <n v="280000"/>
    <n v="280000"/>
    <n v="28500000"/>
  </r>
  <r>
    <s v="TXN-2025-825"/>
    <s v="2025-10-27"/>
    <x v="9"/>
    <x v="9"/>
    <s v="RINA marlina"/>
    <s v="Rina Marlina"/>
    <x v="0"/>
    <s v="PROD010"/>
    <n v="2"/>
    <x v="0"/>
    <n v="350000"/>
    <n v="700000"/>
    <n v="28500000"/>
  </r>
  <r>
    <s v="TXN-2025-826"/>
    <s v="2025-10-28"/>
    <x v="9"/>
    <x v="9"/>
    <s v="Ahmad Fauzi"/>
    <s v="Ahmad Fauzi"/>
    <x v="3"/>
    <s v="PROD007"/>
    <n v="1"/>
    <x v="2"/>
    <n v="1800000"/>
    <n v="1800000"/>
    <n v="95000000"/>
  </r>
  <r>
    <s v="TXN-2025-827"/>
    <s v="2025-10-28"/>
    <x v="9"/>
    <x v="9"/>
    <s v=" mega utami "/>
    <s v="Mega Utami"/>
    <x v="2"/>
    <s v="PROD006"/>
    <n v="1"/>
    <x v="0"/>
    <n v="280000"/>
    <n v="280000"/>
    <n v="28500000"/>
  </r>
  <r>
    <s v="TXN-2025-828"/>
    <s v="2025-10-28"/>
    <x v="9"/>
    <x v="9"/>
    <s v="  Sari Yuliana  "/>
    <s v="Sari Yuliana"/>
    <x v="2"/>
    <s v="PROD008"/>
    <n v="1"/>
    <x v="2"/>
    <n v="250000"/>
    <n v="250000"/>
    <n v="95000000"/>
  </r>
  <r>
    <s v="TXN-2025-829"/>
    <s v="2025-10-29"/>
    <x v="9"/>
    <x v="9"/>
    <s v="  Sari Yuliana  "/>
    <s v="Sari Yuliana"/>
    <x v="0"/>
    <s v="PROD006"/>
    <n v="3"/>
    <x v="0"/>
    <n v="280000"/>
    <n v="840000"/>
    <n v="28500000"/>
  </r>
  <r>
    <s v="TXN-2025-830"/>
    <s v="2025-10-29"/>
    <x v="9"/>
    <x v="9"/>
    <s v="  Sari Yuliana  "/>
    <s v="Sari Yuliana"/>
    <x v="1"/>
    <s v="PROD007"/>
    <n v="2"/>
    <x v="2"/>
    <n v="1800000"/>
    <n v="3600000"/>
    <n v="95000000"/>
  </r>
  <r>
    <s v="TXN-2025-831"/>
    <s v="2025-10-30"/>
    <x v="9"/>
    <x v="9"/>
    <s v="andi WIJAYA"/>
    <s v="Andi Wijaya"/>
    <x v="0"/>
    <s v="PROD010"/>
    <n v="1"/>
    <x v="0"/>
    <n v="350000"/>
    <n v="350000"/>
    <n v="28500000"/>
  </r>
  <r>
    <s v="TXN-2025-832"/>
    <s v="2025-10-30"/>
    <x v="9"/>
    <x v="9"/>
    <s v="Ahmad Fauzi"/>
    <s v="Ahmad Fauzi"/>
    <x v="4"/>
    <s v="PROD003"/>
    <n v="2"/>
    <x v="1"/>
    <n v="1200000"/>
    <n v="2400000"/>
    <n v="38000000"/>
  </r>
  <r>
    <s v="TXN-2025-833"/>
    <s v="2025-10-30"/>
    <x v="9"/>
    <x v="9"/>
    <s v=" mega utami "/>
    <s v="Mega Utami"/>
    <x v="2"/>
    <s v="PROD005"/>
    <n v="3"/>
    <x v="0"/>
    <n v="250000"/>
    <n v="750000"/>
    <n v="28500000"/>
  </r>
  <r>
    <s v="TXN-2025-834"/>
    <s v="2025-10-30"/>
    <x v="9"/>
    <x v="9"/>
    <s v="Bambang H."/>
    <s v="Bambang H."/>
    <x v="4"/>
    <s v="PROD006"/>
    <n v="1"/>
    <x v="0"/>
    <n v="280000"/>
    <n v="280000"/>
    <n v="28500000"/>
  </r>
  <r>
    <s v="TXN-2025-835"/>
    <s v="2025-10-31"/>
    <x v="9"/>
    <x v="9"/>
    <s v="Bambang H."/>
    <s v="Bambang H."/>
    <x v="2"/>
    <s v="PROD010"/>
    <n v="2"/>
    <x v="0"/>
    <n v="350000"/>
    <n v="700000"/>
    <n v="28500000"/>
  </r>
  <r>
    <s v="TXN-2025-836"/>
    <s v="2025-10-31"/>
    <x v="9"/>
    <x v="9"/>
    <s v="  DEWI lestari  "/>
    <s v="Dewi Lestari"/>
    <x v="1"/>
    <s v="PROD004"/>
    <n v="1"/>
    <x v="1"/>
    <n v="950000"/>
    <n v="950000"/>
    <n v="38000000"/>
  </r>
  <r>
    <s v="TXN-2025-837"/>
    <s v="2025-10-31"/>
    <x v="9"/>
    <x v="9"/>
    <s v="  Sari Yuliana  "/>
    <s v="Sari Yuliana"/>
    <x v="3"/>
    <s v="PROD008"/>
    <n v="1"/>
    <x v="2"/>
    <n v="250000"/>
    <n v="250000"/>
    <n v="95000000"/>
  </r>
  <r>
    <s v="TXN-2025-838"/>
    <s v="2025-10-31"/>
    <x v="9"/>
    <x v="9"/>
    <s v=" mega utami "/>
    <s v="Mega Utami"/>
    <x v="1"/>
    <s v="PROD006"/>
    <n v="2"/>
    <x v="0"/>
    <n v="280000"/>
    <n v="560000"/>
    <n v="28500000"/>
  </r>
  <r>
    <s v="TXN-2025-839"/>
    <s v="2025-10-31"/>
    <x v="9"/>
    <x v="9"/>
    <s v="  DEWI lestari  "/>
    <s v="Dewi Lestari"/>
    <x v="0"/>
    <s v="PROD003"/>
    <n v="1"/>
    <x v="1"/>
    <n v="1200000"/>
    <n v="1200000"/>
    <n v="38000000"/>
  </r>
  <r>
    <s v="TXN-2025-840"/>
    <s v="2025-11-01"/>
    <x v="10"/>
    <x v="10"/>
    <s v="  Sari Yuliana  "/>
    <s v="Sari Yuliana"/>
    <x v="0"/>
    <s v="PROD007"/>
    <n v="2"/>
    <x v="2"/>
    <n v="1800000"/>
    <n v="3600000"/>
    <n v="100000000"/>
  </r>
  <r>
    <s v="TXN-2025-841"/>
    <s v="2025-11-01"/>
    <x v="10"/>
    <x v="10"/>
    <s v="  Sari Yuliana  "/>
    <s v="Sari Yuliana"/>
    <x v="4"/>
    <s v="PROD006"/>
    <n v="3"/>
    <x v="0"/>
    <n v="280000"/>
    <n v="840000"/>
    <n v="30000000"/>
  </r>
  <r>
    <s v="TXN-2025-842"/>
    <s v="2025-11-02"/>
    <x v="10"/>
    <x v="10"/>
    <s v="  budi santoso  "/>
    <s v="Budi Santoso"/>
    <x v="4"/>
    <s v="PROD005"/>
    <n v="1"/>
    <x v="0"/>
    <n v="250000"/>
    <n v="250000"/>
    <n v="30000000"/>
  </r>
  <r>
    <s v="TXN-2025-843"/>
    <s v="2025-11-02"/>
    <x v="10"/>
    <x v="10"/>
    <s v="  Sari Yuliana  "/>
    <s v="Sari Yuliana"/>
    <x v="0"/>
    <s v="PROD008"/>
    <n v="2"/>
    <x v="2"/>
    <n v="250000"/>
    <n v="500000"/>
    <n v="100000000"/>
  </r>
  <r>
    <s v="TXN-2025-844"/>
    <s v="2025-11-02"/>
    <x v="10"/>
    <x v="10"/>
    <s v="RINA marlina"/>
    <s v="Rina Marlina"/>
    <x v="0"/>
    <s v="PROD010"/>
    <n v="1"/>
    <x v="0"/>
    <n v="350000"/>
    <n v="350000"/>
    <n v="30000000"/>
  </r>
  <r>
    <s v="TXN-2025-845"/>
    <s v="2025-11-03"/>
    <x v="10"/>
    <x v="10"/>
    <s v="andi WIJAYA"/>
    <s v="Andi Wijaya"/>
    <x v="0"/>
    <s v="PROD004"/>
    <n v="5"/>
    <x v="1"/>
    <n v="950000"/>
    <n v="4750000"/>
    <n v="40000000"/>
  </r>
  <r>
    <s v="TXN-2025-846"/>
    <s v="2025-11-03"/>
    <x v="10"/>
    <x v="10"/>
    <s v="andi WIJAYA"/>
    <s v="Andi Wijaya"/>
    <x v="2"/>
    <s v="PROD006"/>
    <n v="2"/>
    <x v="0"/>
    <n v="280000"/>
    <n v="560000"/>
    <n v="30000000"/>
  </r>
  <r>
    <s v="TXN-2025-847"/>
    <s v="2025-11-04"/>
    <x v="10"/>
    <x v="10"/>
    <s v="  DEWI lestari  "/>
    <s v="Dewi Lestari"/>
    <x v="1"/>
    <s v="PROD007"/>
    <n v="3"/>
    <x v="2"/>
    <n v="1800000"/>
    <n v="5400000"/>
    <n v="100000000"/>
  </r>
  <r>
    <s v="TXN-2025-848"/>
    <s v="2025-11-04"/>
    <x v="10"/>
    <x v="10"/>
    <s v="RINA marlina"/>
    <s v="Rina Marlina"/>
    <x v="2"/>
    <s v="PROD005"/>
    <n v="2"/>
    <x v="0"/>
    <n v="250000"/>
    <n v="500000"/>
    <n v="30000000"/>
  </r>
  <r>
    <s v="TXN-2025-849"/>
    <s v="2025-11-04"/>
    <x v="10"/>
    <x v="10"/>
    <s v="  siti RAHMA  "/>
    <s v="Siti Rahma"/>
    <x v="3"/>
    <s v="PROD007"/>
    <n v="1"/>
    <x v="2"/>
    <n v="1800000"/>
    <n v="1800000"/>
    <n v="100000000"/>
  </r>
  <r>
    <s v="TXN-2025-850"/>
    <s v="2025-11-05"/>
    <x v="10"/>
    <x v="10"/>
    <s v="andi WIJAYA"/>
    <s v="Andi Wijaya"/>
    <x v="2"/>
    <s v="PROD006"/>
    <n v="2"/>
    <x v="0"/>
    <n v="280000"/>
    <n v="560000"/>
    <n v="30000000"/>
  </r>
  <r>
    <s v="TXN-2025-851"/>
    <s v="2025-11-06"/>
    <x v="10"/>
    <x v="10"/>
    <s v="  siti RAHMA  "/>
    <s v="Siti Rahma"/>
    <x v="0"/>
    <s v="PROD002"/>
    <n v="5"/>
    <x v="2"/>
    <n v="4500000"/>
    <n v="22500000"/>
    <n v="100000000"/>
  </r>
  <r>
    <s v="TXN-2025-852"/>
    <s v="2025-11-06"/>
    <x v="10"/>
    <x v="10"/>
    <s v="Ahmad Fauzi"/>
    <s v="Ahmad Fauzi"/>
    <x v="2"/>
    <s v="PROD010"/>
    <n v="2"/>
    <x v="0"/>
    <n v="350000"/>
    <n v="700000"/>
    <n v="30000000"/>
  </r>
  <r>
    <s v="TXN-2025-853"/>
    <s v="2025-11-07"/>
    <x v="10"/>
    <x v="10"/>
    <s v="RINA marlina"/>
    <s v="Rina Marlina"/>
    <x v="4"/>
    <s v="PROD004"/>
    <n v="3"/>
    <x v="1"/>
    <n v="950000"/>
    <n v="2850000"/>
    <n v="40000000"/>
  </r>
  <r>
    <s v="TXN-2025-854"/>
    <s v="2025-11-07"/>
    <x v="10"/>
    <x v="10"/>
    <s v="  siti RAHMA  "/>
    <s v="Siti Rahma"/>
    <x v="0"/>
    <s v="PROD010"/>
    <n v="4"/>
    <x v="0"/>
    <n v="350000"/>
    <n v="1400000"/>
    <n v="30000000"/>
  </r>
  <r>
    <s v="TXN-2025-855"/>
    <s v="2025-11-07"/>
    <x v="10"/>
    <x v="10"/>
    <s v="  budi santoso  "/>
    <s v="Budi Santoso"/>
    <x v="1"/>
    <s v="PROD009"/>
    <n v="1"/>
    <x v="1"/>
    <n v="650000"/>
    <n v="650000"/>
    <n v="40000000"/>
  </r>
  <r>
    <s v="TXN-2025-856"/>
    <s v="2025-11-08"/>
    <x v="10"/>
    <x v="10"/>
    <s v=" mega utami "/>
    <s v="Mega Utami"/>
    <x v="2"/>
    <s v="PROD003"/>
    <n v="1"/>
    <x v="1"/>
    <n v="1200000"/>
    <n v="1200000"/>
    <n v="40000000"/>
  </r>
  <r>
    <s v="TXN-2025-857"/>
    <s v="2025-11-08"/>
    <x v="10"/>
    <x v="10"/>
    <s v="Bambang H."/>
    <s v="Bambang H."/>
    <x v="0"/>
    <s v="PROD009"/>
    <n v="2"/>
    <x v="1"/>
    <n v="650000"/>
    <n v="1300000"/>
    <n v="40000000"/>
  </r>
  <r>
    <s v="TXN-2025-858"/>
    <s v="2025-11-08"/>
    <x v="10"/>
    <x v="10"/>
    <s v="  Sari Yuliana  "/>
    <s v="Sari Yuliana"/>
    <x v="4"/>
    <s v="PROD001"/>
    <n v="2"/>
    <x v="2"/>
    <n v="7500000"/>
    <n v="15000000"/>
    <n v="100000000"/>
  </r>
  <r>
    <s v="TXN-2025-859"/>
    <s v="2025-11-09"/>
    <x v="10"/>
    <x v="10"/>
    <s v="Bambang H."/>
    <s v="Bambang H."/>
    <x v="4"/>
    <s v="PROD008"/>
    <n v="3"/>
    <x v="2"/>
    <n v="250000"/>
    <n v="750000"/>
    <n v="100000000"/>
  </r>
  <r>
    <s v="TXN-2025-860"/>
    <s v="2025-11-09"/>
    <x v="10"/>
    <x v="10"/>
    <s v="  DEWI lestari  "/>
    <s v="Dewi Lestari"/>
    <x v="2"/>
    <s v="PROD004"/>
    <n v="4"/>
    <x v="1"/>
    <n v="950000"/>
    <n v="3800000"/>
    <n v="40000000"/>
  </r>
  <r>
    <s v="TXN-2025-861"/>
    <s v="2025-11-10"/>
    <x v="10"/>
    <x v="10"/>
    <s v="  budi santoso  "/>
    <s v="Budi Santoso"/>
    <x v="0"/>
    <s v="PROD008"/>
    <n v="1"/>
    <x v="2"/>
    <n v="250000"/>
    <n v="250000"/>
    <n v="100000000"/>
  </r>
  <r>
    <s v="TXN-2025-862"/>
    <s v="2025-11-10"/>
    <x v="10"/>
    <x v="10"/>
    <s v="andi WIJAYA"/>
    <s v="Andi Wijaya"/>
    <x v="1"/>
    <s v="PROD005"/>
    <n v="1"/>
    <x v="0"/>
    <n v="250000"/>
    <n v="250000"/>
    <n v="30000000"/>
  </r>
  <r>
    <s v="TXN-2025-863"/>
    <s v="2025-11-10"/>
    <x v="10"/>
    <x v="10"/>
    <s v="  DEWI lestari  "/>
    <s v="Dewi Lestari"/>
    <x v="3"/>
    <s v="PROD002"/>
    <n v="3"/>
    <x v="2"/>
    <n v="4500000"/>
    <n v="13500000"/>
    <n v="100000000"/>
  </r>
  <r>
    <s v="TXN-2025-864"/>
    <s v="2025-11-11"/>
    <x v="10"/>
    <x v="10"/>
    <s v="  DEWI lestari  "/>
    <s v="Dewi Lestari"/>
    <x v="4"/>
    <s v="PROD007"/>
    <n v="1"/>
    <x v="2"/>
    <n v="1800000"/>
    <n v="1800000"/>
    <n v="100000000"/>
  </r>
  <r>
    <s v="TXN-2025-865"/>
    <s v="2025-11-11"/>
    <x v="10"/>
    <x v="10"/>
    <s v="Bambang H."/>
    <s v="Bambang H."/>
    <x v="3"/>
    <s v="PROD008"/>
    <n v="3"/>
    <x v="2"/>
    <n v="250000"/>
    <n v="750000"/>
    <n v="100000000"/>
  </r>
  <r>
    <s v="TXN-2025-866"/>
    <s v="2025-11-11"/>
    <x v="10"/>
    <x v="10"/>
    <s v="RINA marlina"/>
    <s v="Rina Marlina"/>
    <x v="1"/>
    <s v="PROD003"/>
    <n v="2"/>
    <x v="1"/>
    <n v="1200000"/>
    <n v="2400000"/>
    <n v="40000000"/>
  </r>
  <r>
    <s v="TXN-2025-867"/>
    <s v="2025-11-12"/>
    <x v="10"/>
    <x v="10"/>
    <s v="andi WIJAYA"/>
    <s v="Andi Wijaya"/>
    <x v="2"/>
    <s v="PROD005"/>
    <n v="2"/>
    <x v="0"/>
    <n v="250000"/>
    <n v="500000"/>
    <n v="30000000"/>
  </r>
  <r>
    <s v="TXN-2025-868"/>
    <s v="2025-11-12"/>
    <x v="10"/>
    <x v="10"/>
    <s v="  DEWI lestari  "/>
    <s v="Dewi Lestari"/>
    <x v="4"/>
    <s v="PROD004"/>
    <n v="1"/>
    <x v="1"/>
    <n v="950000"/>
    <n v="950000"/>
    <n v="40000000"/>
  </r>
  <r>
    <s v="TXN-2025-869"/>
    <s v="2025-11-12"/>
    <x v="10"/>
    <x v="10"/>
    <s v="  Sari Yuliana  "/>
    <s v="Sari Yuliana"/>
    <x v="3"/>
    <s v="PROD005"/>
    <n v="2"/>
    <x v="0"/>
    <n v="250000"/>
    <n v="500000"/>
    <n v="30000000"/>
  </r>
  <r>
    <s v="TXN-2025-870"/>
    <s v="2025-11-13"/>
    <x v="10"/>
    <x v="10"/>
    <s v="andi WIJAYA"/>
    <s v="Andi Wijaya"/>
    <x v="4"/>
    <s v="PROD003"/>
    <n v="2"/>
    <x v="1"/>
    <n v="1200000"/>
    <n v="2400000"/>
    <n v="40000000"/>
  </r>
  <r>
    <s v="TXN-2025-871"/>
    <s v="2025-11-13"/>
    <x v="10"/>
    <x v="10"/>
    <s v=" mega utami "/>
    <s v="Mega Utami"/>
    <x v="3"/>
    <s v="PROD007"/>
    <n v="2"/>
    <x v="2"/>
    <n v="1800000"/>
    <n v="3600000"/>
    <n v="100000000"/>
  </r>
  <r>
    <s v="TXN-2025-872"/>
    <s v="2025-11-13"/>
    <x v="10"/>
    <x v="10"/>
    <s v="RINA marlina"/>
    <s v="Rina Marlina"/>
    <x v="0"/>
    <s v="PROD007"/>
    <n v="1"/>
    <x v="2"/>
    <n v="1800000"/>
    <n v="1800000"/>
    <n v="100000000"/>
  </r>
  <r>
    <s v="TXN-2025-873"/>
    <s v="2025-11-13"/>
    <x v="10"/>
    <x v="10"/>
    <s v="Ahmad Fauzi"/>
    <s v="Ahmad Fauzi"/>
    <x v="0"/>
    <s v="PROD002"/>
    <n v="3"/>
    <x v="2"/>
    <n v="4500000"/>
    <n v="13500000"/>
    <n v="100000000"/>
  </r>
  <r>
    <s v="TXN-2025-874"/>
    <s v="2025-11-14"/>
    <x v="10"/>
    <x v="10"/>
    <s v="andi WIJAYA"/>
    <s v="Andi Wijaya"/>
    <x v="2"/>
    <s v="PROD008"/>
    <n v="4"/>
    <x v="2"/>
    <n v="250000"/>
    <n v="1000000"/>
    <n v="100000000"/>
  </r>
  <r>
    <s v="TXN-2025-875"/>
    <s v="2025-11-14"/>
    <x v="10"/>
    <x v="10"/>
    <s v="  siti RAHMA  "/>
    <s v="Siti Rahma"/>
    <x v="1"/>
    <s v="PROD010"/>
    <n v="1"/>
    <x v="0"/>
    <n v="350000"/>
    <n v="350000"/>
    <n v="30000000"/>
  </r>
  <r>
    <s v="TXN-2025-876"/>
    <s v="2025-11-14"/>
    <x v="10"/>
    <x v="10"/>
    <s v="  DEWI lestari  "/>
    <s v="Dewi Lestari"/>
    <x v="4"/>
    <s v="PROD008"/>
    <n v="1"/>
    <x v="2"/>
    <n v="250000"/>
    <n v="250000"/>
    <n v="100000000"/>
  </r>
  <r>
    <s v="TXN-2025-877"/>
    <s v="2025-11-14"/>
    <x v="10"/>
    <x v="10"/>
    <s v="  siti RAHMA  "/>
    <s v="Siti Rahma"/>
    <x v="1"/>
    <s v="PROD010"/>
    <n v="1"/>
    <x v="0"/>
    <n v="350000"/>
    <n v="350000"/>
    <n v="30000000"/>
  </r>
  <r>
    <s v="TXN-2025-878"/>
    <s v="2025-11-15"/>
    <x v="10"/>
    <x v="10"/>
    <s v="RINA marlina"/>
    <s v="Rina Marlina"/>
    <x v="3"/>
    <s v="PROD007"/>
    <n v="2"/>
    <x v="2"/>
    <n v="1800000"/>
    <n v="3600000"/>
    <n v="100000000"/>
  </r>
  <r>
    <s v="TXN-2025-879"/>
    <s v="2025-11-15"/>
    <x v="10"/>
    <x v="10"/>
    <s v="  budi santoso  "/>
    <s v="Budi Santoso"/>
    <x v="2"/>
    <s v="PROD009"/>
    <n v="2"/>
    <x v="1"/>
    <n v="650000"/>
    <n v="1300000"/>
    <n v="40000000"/>
  </r>
  <r>
    <s v="TXN-2025-880"/>
    <s v="2025-11-16"/>
    <x v="10"/>
    <x v="10"/>
    <s v="  siti RAHMA  "/>
    <s v="Siti Rahma"/>
    <x v="0"/>
    <s v="PROD009"/>
    <n v="2"/>
    <x v="1"/>
    <n v="650000"/>
    <n v="1300000"/>
    <n v="40000000"/>
  </r>
  <r>
    <s v="TXN-2025-881"/>
    <s v="2025-11-16"/>
    <x v="10"/>
    <x v="10"/>
    <s v="  DEWI lestari  "/>
    <s v="Dewi Lestari"/>
    <x v="0"/>
    <s v="PROD007"/>
    <n v="1"/>
    <x v="2"/>
    <n v="1800000"/>
    <n v="1800000"/>
    <n v="100000000"/>
  </r>
  <r>
    <s v="TXN-2025-882"/>
    <s v="2025-11-16"/>
    <x v="10"/>
    <x v="10"/>
    <s v="  Sari Yuliana  "/>
    <s v="Sari Yuliana"/>
    <x v="2"/>
    <s v="PROD009"/>
    <n v="1"/>
    <x v="1"/>
    <n v="650000"/>
    <n v="650000"/>
    <n v="40000000"/>
  </r>
  <r>
    <s v="TXN-2025-883"/>
    <s v="2025-11-17"/>
    <x v="10"/>
    <x v="10"/>
    <s v="  Sari Yuliana  "/>
    <s v="Sari Yuliana"/>
    <x v="4"/>
    <s v="PROD001"/>
    <n v="2"/>
    <x v="2"/>
    <n v="7500000"/>
    <n v="15000000"/>
    <n v="100000000"/>
  </r>
  <r>
    <s v="TXN-2025-884"/>
    <s v="2025-11-17"/>
    <x v="10"/>
    <x v="10"/>
    <s v="  DEWI lestari  "/>
    <s v="Dewi Lestari"/>
    <x v="1"/>
    <s v="PROD006"/>
    <n v="2"/>
    <x v="0"/>
    <n v="280000"/>
    <n v="560000"/>
    <n v="30000000"/>
  </r>
  <r>
    <s v="TXN-2025-885"/>
    <s v="2025-11-18"/>
    <x v="10"/>
    <x v="10"/>
    <s v="Bambang H."/>
    <s v="Bambang H."/>
    <x v="3"/>
    <s v="PROD009"/>
    <n v="10"/>
    <x v="1"/>
    <n v="650000"/>
    <n v="6500000"/>
    <n v="40000000"/>
  </r>
  <r>
    <s v="TXN-2025-886"/>
    <s v="2025-11-18"/>
    <x v="10"/>
    <x v="10"/>
    <s v="RINA marlina"/>
    <s v="Rina Marlina"/>
    <x v="1"/>
    <s v="PROD010"/>
    <n v="1"/>
    <x v="0"/>
    <n v="350000"/>
    <n v="350000"/>
    <n v="30000000"/>
  </r>
  <r>
    <s v="TXN-2025-887"/>
    <s v="2025-11-19"/>
    <x v="10"/>
    <x v="10"/>
    <s v="Bambang H."/>
    <s v="Bambang H."/>
    <x v="0"/>
    <s v="PROD002"/>
    <n v="2"/>
    <x v="2"/>
    <n v="4500000"/>
    <n v="9000000"/>
    <n v="100000000"/>
  </r>
  <r>
    <s v="TXN-2025-888"/>
    <s v="2025-11-19"/>
    <x v="10"/>
    <x v="10"/>
    <s v="  DEWI lestari  "/>
    <s v="Dewi Lestari"/>
    <x v="2"/>
    <s v="PROD002"/>
    <n v="2"/>
    <x v="2"/>
    <n v="4500000"/>
    <n v="9000000"/>
    <n v="100000000"/>
  </r>
  <r>
    <s v="TXN-2025-889"/>
    <s v="2025-11-19"/>
    <x v="10"/>
    <x v="10"/>
    <s v=" mega utami "/>
    <s v="Mega Utami"/>
    <x v="0"/>
    <s v="PROD004"/>
    <n v="2"/>
    <x v="1"/>
    <n v="950000"/>
    <n v="1900000"/>
    <n v="40000000"/>
  </r>
  <r>
    <s v="TXN-2025-890"/>
    <s v="2025-11-20"/>
    <x v="10"/>
    <x v="10"/>
    <s v="  DEWI lestari  "/>
    <s v="Dewi Lestari"/>
    <x v="0"/>
    <s v="PROD006"/>
    <n v="3"/>
    <x v="0"/>
    <n v="280000"/>
    <n v="840000"/>
    <n v="30000000"/>
  </r>
  <r>
    <s v="TXN-2025-891"/>
    <s v="2025-11-20"/>
    <x v="10"/>
    <x v="10"/>
    <s v="Ahmad Fauzi"/>
    <s v="Ahmad Fauzi"/>
    <x v="3"/>
    <s v="PROD003"/>
    <n v="2"/>
    <x v="1"/>
    <n v="1200000"/>
    <n v="2400000"/>
    <n v="40000000"/>
  </r>
  <r>
    <s v="TXN-2025-892"/>
    <s v="2025-11-21"/>
    <x v="10"/>
    <x v="10"/>
    <s v="Ahmad Fauzi"/>
    <s v="Ahmad Fauzi"/>
    <x v="4"/>
    <s v="PROD010"/>
    <n v="10"/>
    <x v="0"/>
    <n v="350000"/>
    <n v="3500000"/>
    <n v="30000000"/>
  </r>
  <r>
    <s v="TXN-2025-893"/>
    <s v="2025-11-21"/>
    <x v="10"/>
    <x v="10"/>
    <s v="Bambang H."/>
    <s v="Bambang H."/>
    <x v="4"/>
    <s v="PROD001"/>
    <n v="1"/>
    <x v="2"/>
    <n v="7500000"/>
    <n v="7500000"/>
    <n v="100000000"/>
  </r>
  <r>
    <s v="TXN-2025-894"/>
    <s v="2025-11-21"/>
    <x v="10"/>
    <x v="10"/>
    <s v="Bambang H."/>
    <s v="Bambang H."/>
    <x v="3"/>
    <s v="PROD010"/>
    <n v="1"/>
    <x v="0"/>
    <n v="350000"/>
    <n v="350000"/>
    <n v="30000000"/>
  </r>
  <r>
    <s v="TXN-2025-895"/>
    <s v="2025-11-22"/>
    <x v="10"/>
    <x v="10"/>
    <s v="RINA marlina"/>
    <s v="Rina Marlina"/>
    <x v="2"/>
    <s v="PROD007"/>
    <n v="3"/>
    <x v="2"/>
    <n v="1800000"/>
    <n v="5400000"/>
    <n v="100000000"/>
  </r>
  <r>
    <s v="TXN-2025-896"/>
    <s v="2025-11-22"/>
    <x v="10"/>
    <x v="10"/>
    <s v="  Sari Yuliana  "/>
    <s v="Sari Yuliana"/>
    <x v="1"/>
    <s v="PROD006"/>
    <n v="2"/>
    <x v="0"/>
    <n v="280000"/>
    <n v="560000"/>
    <n v="30000000"/>
  </r>
  <r>
    <s v="TXN-2025-897"/>
    <s v="2025-11-22"/>
    <x v="10"/>
    <x v="10"/>
    <s v="  budi santoso  "/>
    <s v="Budi Santoso"/>
    <x v="2"/>
    <s v="PROD007"/>
    <n v="1"/>
    <x v="2"/>
    <n v="1800000"/>
    <n v="1800000"/>
    <n v="100000000"/>
  </r>
  <r>
    <s v="TXN-2025-898"/>
    <s v="2025-11-22"/>
    <x v="10"/>
    <x v="10"/>
    <s v=" mega utami "/>
    <s v="Mega Utami"/>
    <x v="1"/>
    <s v="PROD002"/>
    <n v="1"/>
    <x v="2"/>
    <n v="4500000"/>
    <n v="4500000"/>
    <n v="100000000"/>
  </r>
  <r>
    <s v="TXN-2025-899"/>
    <s v="2025-11-23"/>
    <x v="10"/>
    <x v="10"/>
    <s v="Eko Prasetyo"/>
    <s v="Eko Prasetyo"/>
    <x v="4"/>
    <s v="PROD001"/>
    <n v="1"/>
    <x v="2"/>
    <n v="7500000"/>
    <n v="7500000"/>
    <n v="100000000"/>
  </r>
  <r>
    <s v="TXN-2025-900"/>
    <s v="2025-11-23"/>
    <x v="10"/>
    <x v="10"/>
    <s v="  Sari Yuliana  "/>
    <s v="Sari Yuliana"/>
    <x v="0"/>
    <s v="PROD002"/>
    <n v="4"/>
    <x v="2"/>
    <n v="4500000"/>
    <n v="18000000"/>
    <n v="100000000"/>
  </r>
  <r>
    <s v="TXN-2025-901"/>
    <s v="2025-11-23"/>
    <x v="10"/>
    <x v="10"/>
    <s v="  DEWI lestari  "/>
    <s v="Dewi Lestari"/>
    <x v="0"/>
    <s v="PROD005"/>
    <n v="1"/>
    <x v="0"/>
    <n v="250000"/>
    <n v="250000"/>
    <n v="30000000"/>
  </r>
  <r>
    <s v="TXN-2025-902"/>
    <s v="2025-11-24"/>
    <x v="10"/>
    <x v="10"/>
    <s v="  budi santoso  "/>
    <s v="Budi Santoso"/>
    <x v="2"/>
    <s v="PROD004"/>
    <n v="1"/>
    <x v="1"/>
    <n v="950000"/>
    <n v="950000"/>
    <n v="40000000"/>
  </r>
  <r>
    <s v="TXN-2025-903"/>
    <s v="2025-11-25"/>
    <x v="10"/>
    <x v="10"/>
    <s v="RINA marlina"/>
    <s v="Rina Marlina"/>
    <x v="3"/>
    <s v="PROD009"/>
    <n v="1"/>
    <x v="1"/>
    <n v="650000"/>
    <n v="650000"/>
    <n v="40000000"/>
  </r>
  <r>
    <s v="TXN-2025-904"/>
    <s v="2025-11-26"/>
    <x v="10"/>
    <x v="10"/>
    <s v="andi WIJAYA"/>
    <s v="Andi Wijaya"/>
    <x v="1"/>
    <s v="PROD009"/>
    <n v="1"/>
    <x v="1"/>
    <n v="650000"/>
    <n v="650000"/>
    <n v="40000000"/>
  </r>
  <r>
    <s v="TXN-2025-905"/>
    <s v="2025-11-26"/>
    <x v="10"/>
    <x v="10"/>
    <s v="  Sari Yuliana  "/>
    <s v="Sari Yuliana"/>
    <x v="0"/>
    <s v="PROD009"/>
    <n v="1"/>
    <x v="1"/>
    <n v="650000"/>
    <n v="650000"/>
    <n v="40000000"/>
  </r>
  <r>
    <s v="TXN-2025-906"/>
    <s v="2025-11-26"/>
    <x v="10"/>
    <x v="10"/>
    <s v="  Sari Yuliana  "/>
    <s v="Sari Yuliana"/>
    <x v="2"/>
    <s v="PROD010"/>
    <n v="2"/>
    <x v="0"/>
    <n v="350000"/>
    <n v="700000"/>
    <n v="30000000"/>
  </r>
  <r>
    <s v="TXN-2025-907"/>
    <s v="2025-11-27"/>
    <x v="10"/>
    <x v="10"/>
    <s v="  budi santoso  "/>
    <s v="Budi Santoso"/>
    <x v="3"/>
    <s v="PROD010"/>
    <n v="1"/>
    <x v="0"/>
    <n v="350000"/>
    <n v="350000"/>
    <n v="30000000"/>
  </r>
  <r>
    <s v="TXN-2025-908"/>
    <s v="2025-11-27"/>
    <x v="10"/>
    <x v="10"/>
    <s v="  DEWI lestari  "/>
    <s v="Dewi Lestari"/>
    <x v="4"/>
    <s v="PROD004"/>
    <n v="3"/>
    <x v="1"/>
    <n v="950000"/>
    <n v="2850000"/>
    <n v="40000000"/>
  </r>
  <r>
    <s v="TXN-2025-909"/>
    <s v="2025-11-27"/>
    <x v="10"/>
    <x v="10"/>
    <s v="  Sari Yuliana  "/>
    <s v="Sari Yuliana"/>
    <x v="3"/>
    <s v="PROD008"/>
    <n v="1"/>
    <x v="2"/>
    <n v="250000"/>
    <n v="250000"/>
    <n v="100000000"/>
  </r>
  <r>
    <s v="TXN-2025-910"/>
    <s v="2025-11-27"/>
    <x v="10"/>
    <x v="10"/>
    <s v="  budi santoso  "/>
    <s v="Budi Santoso"/>
    <x v="4"/>
    <s v="PROD006"/>
    <n v="2"/>
    <x v="0"/>
    <n v="280000"/>
    <n v="560000"/>
    <n v="30000000"/>
  </r>
  <r>
    <s v="TXN-2025-911"/>
    <s v="2025-11-29"/>
    <x v="10"/>
    <x v="10"/>
    <s v="  siti RAHMA  "/>
    <s v="Siti Rahma"/>
    <x v="2"/>
    <s v="PROD007"/>
    <n v="4"/>
    <x v="2"/>
    <n v="1800000"/>
    <n v="7200000"/>
    <n v="100000000"/>
  </r>
  <r>
    <s v="TXN-2025-912"/>
    <s v="2025-12-01"/>
    <x v="11"/>
    <x v="11"/>
    <s v="Bambang H."/>
    <s v="Bambang H."/>
    <x v="3"/>
    <s v="PROD008"/>
    <n v="2"/>
    <x v="2"/>
    <n v="250000"/>
    <n v="500000"/>
    <n v="110000000"/>
  </r>
  <r>
    <s v="TXN-2025-913"/>
    <s v="2025-12-01"/>
    <x v="11"/>
    <x v="11"/>
    <s v="Ahmad Fauzi"/>
    <s v="Ahmad Fauzi"/>
    <x v="2"/>
    <s v="PROD010"/>
    <n v="2"/>
    <x v="0"/>
    <n v="350000"/>
    <n v="700000"/>
    <n v="35000000"/>
  </r>
  <r>
    <s v="TXN-2025-914"/>
    <s v="2025-12-01"/>
    <x v="11"/>
    <x v="11"/>
    <s v="Bambang H."/>
    <s v="Bambang H."/>
    <x v="4"/>
    <s v="PROD009"/>
    <n v="1"/>
    <x v="1"/>
    <n v="650000"/>
    <n v="650000"/>
    <n v="45000000"/>
  </r>
  <r>
    <s v="TXN-2025-915"/>
    <s v="2025-12-01"/>
    <x v="11"/>
    <x v="11"/>
    <s v="  DEWI lestari  "/>
    <s v="Dewi Lestari"/>
    <x v="0"/>
    <s v="PROD003"/>
    <n v="1"/>
    <x v="1"/>
    <n v="1200000"/>
    <n v="1200000"/>
    <n v="45000000"/>
  </r>
  <r>
    <s v="TXN-2025-916"/>
    <s v="2025-12-02"/>
    <x v="11"/>
    <x v="11"/>
    <s v="  siti RAHMA  "/>
    <s v="Siti Rahma"/>
    <x v="0"/>
    <s v="PROD006"/>
    <n v="2"/>
    <x v="0"/>
    <n v="280000"/>
    <n v="560000"/>
    <n v="35000000"/>
  </r>
  <r>
    <s v="TXN-2025-917"/>
    <s v="2025-12-02"/>
    <x v="11"/>
    <x v="11"/>
    <s v="  Sari Yuliana  "/>
    <s v="Sari Yuliana"/>
    <x v="4"/>
    <s v="PROD001"/>
    <n v="10"/>
    <x v="2"/>
    <n v="7500000"/>
    <n v="75000000"/>
    <n v="110000000"/>
  </r>
  <r>
    <s v="TXN-2025-918"/>
    <s v="2025-12-03"/>
    <x v="11"/>
    <x v="11"/>
    <s v=" mega utami "/>
    <s v="Mega Utami"/>
    <x v="1"/>
    <s v="PROD008"/>
    <n v="2"/>
    <x v="2"/>
    <n v="250000"/>
    <n v="500000"/>
    <n v="110000000"/>
  </r>
  <r>
    <s v="TXN-2025-919"/>
    <s v="2025-12-03"/>
    <x v="11"/>
    <x v="11"/>
    <s v="Bambang H."/>
    <s v="Bambang H."/>
    <x v="1"/>
    <s v="PROD002"/>
    <n v="2"/>
    <x v="2"/>
    <n v="4500000"/>
    <n v="9000000"/>
    <n v="110000000"/>
  </r>
  <r>
    <s v="TXN-2025-920"/>
    <s v="2025-12-04"/>
    <x v="11"/>
    <x v="11"/>
    <s v="RINA marlina"/>
    <s v="Rina Marlina"/>
    <x v="0"/>
    <s v="PROD005"/>
    <n v="3"/>
    <x v="0"/>
    <n v="250000"/>
    <n v="750000"/>
    <n v="35000000"/>
  </r>
  <r>
    <s v="TXN-2025-921"/>
    <s v="2025-12-04"/>
    <x v="11"/>
    <x v="11"/>
    <s v="Bambang H."/>
    <s v="Bambang H."/>
    <x v="0"/>
    <s v="PROD007"/>
    <n v="2"/>
    <x v="2"/>
    <n v="1800000"/>
    <n v="3600000"/>
    <n v="110000000"/>
  </r>
  <r>
    <s v="TXN-2025-922"/>
    <s v="2025-12-04"/>
    <x v="11"/>
    <x v="11"/>
    <s v="Eko Prasetyo"/>
    <s v="Eko Prasetyo"/>
    <x v="3"/>
    <s v="PROD002"/>
    <n v="1"/>
    <x v="2"/>
    <n v="4500000"/>
    <n v="4500000"/>
    <n v="110000000"/>
  </r>
  <r>
    <s v="TXN-2025-923"/>
    <s v="2025-12-04"/>
    <x v="11"/>
    <x v="11"/>
    <s v=" mega utami "/>
    <s v="Mega Utami"/>
    <x v="3"/>
    <s v="PROD002"/>
    <n v="2"/>
    <x v="2"/>
    <n v="4500000"/>
    <n v="9000000"/>
    <n v="110000000"/>
  </r>
  <r>
    <s v="TXN-2025-924"/>
    <s v="2025-12-05"/>
    <x v="11"/>
    <x v="11"/>
    <s v="Eko Prasetyo"/>
    <s v="Eko Prasetyo"/>
    <x v="0"/>
    <s v="PROD003"/>
    <n v="5"/>
    <x v="1"/>
    <n v="1200000"/>
    <n v="6000000"/>
    <n v="45000000"/>
  </r>
  <r>
    <s v="TXN-2025-925"/>
    <s v="2025-12-05"/>
    <x v="11"/>
    <x v="11"/>
    <s v="Eko Prasetyo"/>
    <s v="Eko Prasetyo"/>
    <x v="1"/>
    <s v="PROD006"/>
    <n v="1"/>
    <x v="0"/>
    <n v="280000"/>
    <n v="280000"/>
    <n v="35000000"/>
  </r>
  <r>
    <s v="TXN-2025-926"/>
    <s v="2025-12-06"/>
    <x v="11"/>
    <x v="11"/>
    <s v="RINA marlina"/>
    <s v="Rina Marlina"/>
    <x v="3"/>
    <s v="PROD005"/>
    <n v="2"/>
    <x v="0"/>
    <n v="250000"/>
    <n v="500000"/>
    <n v="35000000"/>
  </r>
  <r>
    <s v="TXN-2025-927"/>
    <s v="2025-12-06"/>
    <x v="11"/>
    <x v="11"/>
    <s v="  siti RAHMA  "/>
    <s v="Siti Rahma"/>
    <x v="4"/>
    <s v="PROD006"/>
    <n v="1"/>
    <x v="0"/>
    <n v="280000"/>
    <n v="280000"/>
    <n v="35000000"/>
  </r>
  <r>
    <s v="TXN-2025-928"/>
    <s v="2025-12-06"/>
    <x v="11"/>
    <x v="11"/>
    <s v="Eko Prasetyo"/>
    <s v="Eko Prasetyo"/>
    <x v="3"/>
    <s v="PROD008"/>
    <n v="2"/>
    <x v="2"/>
    <n v="250000"/>
    <n v="500000"/>
    <n v="110000000"/>
  </r>
  <r>
    <s v="TXN-2025-929"/>
    <s v="2025-12-06"/>
    <x v="11"/>
    <x v="11"/>
    <s v=" mega utami "/>
    <s v="Mega Utami"/>
    <x v="3"/>
    <s v="PROD004"/>
    <n v="1"/>
    <x v="1"/>
    <n v="950000"/>
    <n v="950000"/>
    <n v="45000000"/>
  </r>
  <r>
    <s v="TXN-2025-930"/>
    <s v="2025-12-06"/>
    <x v="11"/>
    <x v="11"/>
    <s v="Bambang H."/>
    <s v="Bambang H."/>
    <x v="3"/>
    <s v="PROD009"/>
    <n v="2"/>
    <x v="1"/>
    <n v="650000"/>
    <n v="1300000"/>
    <n v="45000000"/>
  </r>
  <r>
    <s v="TXN-2025-931"/>
    <s v="2025-12-07"/>
    <x v="11"/>
    <x v="11"/>
    <s v="  DEWI lestari  "/>
    <s v="Dewi Lestari"/>
    <x v="2"/>
    <s v="PROD008"/>
    <n v="3"/>
    <x v="2"/>
    <n v="250000"/>
    <n v="750000"/>
    <n v="110000000"/>
  </r>
  <r>
    <s v="TXN-2025-932"/>
    <s v="2025-12-07"/>
    <x v="11"/>
    <x v="11"/>
    <s v=" mega utami "/>
    <s v="Mega Utami"/>
    <x v="4"/>
    <s v="PROD006"/>
    <n v="1"/>
    <x v="0"/>
    <n v="280000"/>
    <n v="280000"/>
    <n v="35000000"/>
  </r>
  <r>
    <s v="TXN-2025-933"/>
    <s v="2025-12-07"/>
    <x v="11"/>
    <x v="11"/>
    <s v="Ahmad Fauzi"/>
    <s v="Ahmad Fauzi"/>
    <x v="0"/>
    <s v="PROD008"/>
    <n v="2"/>
    <x v="2"/>
    <n v="250000"/>
    <n v="500000"/>
    <n v="110000000"/>
  </r>
  <r>
    <s v="TXN-2025-934"/>
    <s v="2025-12-08"/>
    <x v="11"/>
    <x v="11"/>
    <s v="  budi santoso  "/>
    <s v="Budi Santoso"/>
    <x v="1"/>
    <s v="PROD002"/>
    <n v="3"/>
    <x v="2"/>
    <n v="4500000"/>
    <n v="13500000"/>
    <n v="110000000"/>
  </r>
  <r>
    <s v="TXN-2025-935"/>
    <s v="2025-12-08"/>
    <x v="11"/>
    <x v="11"/>
    <s v="Bambang H."/>
    <s v="Bambang H."/>
    <x v="1"/>
    <s v="PROD008"/>
    <n v="4"/>
    <x v="2"/>
    <n v="250000"/>
    <n v="1000000"/>
    <n v="110000000"/>
  </r>
  <r>
    <s v="TXN-2025-936"/>
    <s v="2025-12-08"/>
    <x v="11"/>
    <x v="11"/>
    <s v="RINA marlina"/>
    <s v="Rina Marlina"/>
    <x v="0"/>
    <s v="PROD008"/>
    <n v="1"/>
    <x v="2"/>
    <n v="250000"/>
    <n v="250000"/>
    <n v="110000000"/>
  </r>
  <r>
    <s v="TXN-2025-937"/>
    <s v="2025-12-08"/>
    <x v="11"/>
    <x v="11"/>
    <s v="Eko Prasetyo"/>
    <s v="Eko Prasetyo"/>
    <x v="2"/>
    <s v="PROD006"/>
    <n v="1"/>
    <x v="0"/>
    <n v="280000"/>
    <n v="280000"/>
    <n v="35000000"/>
  </r>
  <r>
    <s v="TXN-2025-938"/>
    <s v="2025-12-08"/>
    <x v="11"/>
    <x v="11"/>
    <s v="  DEWI lestari  "/>
    <s v="Dewi Lestari"/>
    <x v="1"/>
    <s v="PROD002"/>
    <n v="1"/>
    <x v="2"/>
    <n v="4500000"/>
    <n v="4500000"/>
    <n v="110000000"/>
  </r>
  <r>
    <s v="TXN-2025-939"/>
    <s v="2025-12-08"/>
    <x v="11"/>
    <x v="11"/>
    <s v="Eko Prasetyo"/>
    <s v="Eko Prasetyo"/>
    <x v="3"/>
    <s v="PROD005"/>
    <n v="10"/>
    <x v="0"/>
    <n v="250000"/>
    <n v="2500000"/>
    <n v="35000000"/>
  </r>
  <r>
    <s v="TXN-2025-940"/>
    <s v="2025-12-09"/>
    <x v="11"/>
    <x v="11"/>
    <s v="RINA marlina"/>
    <s v="Rina Marlina"/>
    <x v="1"/>
    <s v="PROD001"/>
    <n v="4"/>
    <x v="2"/>
    <n v="7500000"/>
    <n v="30000000"/>
    <n v="110000000"/>
  </r>
  <r>
    <s v="TXN-2025-941"/>
    <s v="2025-12-10"/>
    <x v="11"/>
    <x v="11"/>
    <s v=" mega utami "/>
    <s v="Mega Utami"/>
    <x v="4"/>
    <s v="PROD002"/>
    <n v="2"/>
    <x v="2"/>
    <n v="4500000"/>
    <n v="9000000"/>
    <n v="110000000"/>
  </r>
  <r>
    <s v="TXN-2025-942"/>
    <s v="2025-12-10"/>
    <x v="11"/>
    <x v="11"/>
    <s v="Ahmad Fauzi"/>
    <s v="Ahmad Fauzi"/>
    <x v="4"/>
    <s v="PROD001"/>
    <n v="3"/>
    <x v="2"/>
    <n v="7500000"/>
    <n v="22500000"/>
    <n v="110000000"/>
  </r>
  <r>
    <s v="TXN-2025-943"/>
    <s v="2025-12-11"/>
    <x v="11"/>
    <x v="11"/>
    <s v="  budi santoso  "/>
    <s v="Budi Santoso"/>
    <x v="0"/>
    <s v="PROD006"/>
    <n v="2"/>
    <x v="0"/>
    <n v="280000"/>
    <n v="560000"/>
    <n v="35000000"/>
  </r>
  <r>
    <s v="TXN-2025-944"/>
    <s v="2025-12-11"/>
    <x v="11"/>
    <x v="11"/>
    <s v="Ahmad Fauzi"/>
    <s v="Ahmad Fauzi"/>
    <x v="2"/>
    <s v="PROD002"/>
    <n v="2"/>
    <x v="2"/>
    <n v="4500000"/>
    <n v="9000000"/>
    <n v="110000000"/>
  </r>
  <r>
    <s v="TXN-2025-945"/>
    <s v="2025-12-12"/>
    <x v="11"/>
    <x v="11"/>
    <s v="Bambang H."/>
    <s v="Bambang H."/>
    <x v="2"/>
    <s v="PROD003"/>
    <n v="1"/>
    <x v="1"/>
    <n v="1200000"/>
    <n v="1200000"/>
    <n v="45000000"/>
  </r>
  <r>
    <s v="TXN-2025-946"/>
    <s v="2025-12-12"/>
    <x v="11"/>
    <x v="11"/>
    <s v=" mega utami "/>
    <s v="Mega Utami"/>
    <x v="1"/>
    <s v="PROD004"/>
    <n v="3"/>
    <x v="1"/>
    <n v="950000"/>
    <n v="2850000"/>
    <n v="45000000"/>
  </r>
  <r>
    <s v="TXN-2025-947"/>
    <s v="2025-12-12"/>
    <x v="11"/>
    <x v="11"/>
    <s v="  budi santoso  "/>
    <s v="Budi Santoso"/>
    <x v="2"/>
    <s v="PROD009"/>
    <n v="1"/>
    <x v="1"/>
    <n v="650000"/>
    <n v="650000"/>
    <n v="45000000"/>
  </r>
  <r>
    <s v="TXN-2025-948"/>
    <s v="2025-12-12"/>
    <x v="11"/>
    <x v="11"/>
    <s v="andi WIJAYA"/>
    <s v="Andi Wijaya"/>
    <x v="2"/>
    <s v="PROD003"/>
    <n v="3"/>
    <x v="1"/>
    <n v="1200000"/>
    <n v="3600000"/>
    <n v="45000000"/>
  </r>
  <r>
    <s v="TXN-2025-949"/>
    <s v="2025-12-12"/>
    <x v="11"/>
    <x v="11"/>
    <s v="Ahmad Fauzi"/>
    <s v="Ahmad Fauzi"/>
    <x v="1"/>
    <s v="PROD009"/>
    <n v="3"/>
    <x v="1"/>
    <n v="650000"/>
    <n v="1950000"/>
    <n v="45000000"/>
  </r>
  <r>
    <s v="TXN-2025-950"/>
    <s v="2025-12-12"/>
    <x v="11"/>
    <x v="11"/>
    <s v="Eko Prasetyo"/>
    <s v="Eko Prasetyo"/>
    <x v="4"/>
    <s v="PROD003"/>
    <n v="3"/>
    <x v="1"/>
    <n v="1200000"/>
    <n v="3600000"/>
    <n v="45000000"/>
  </r>
  <r>
    <s v="TXN-2025-951"/>
    <s v="2025-12-12"/>
    <x v="11"/>
    <x v="11"/>
    <s v="  Sari Yuliana  "/>
    <s v="Sari Yuliana"/>
    <x v="3"/>
    <s v="PROD006"/>
    <n v="1"/>
    <x v="0"/>
    <n v="280000"/>
    <n v="280000"/>
    <n v="35000000"/>
  </r>
  <r>
    <s v="TXN-2025-952"/>
    <s v="2025-12-13"/>
    <x v="11"/>
    <x v="11"/>
    <s v="Bambang H."/>
    <s v="Bambang H."/>
    <x v="0"/>
    <s v="PROD009"/>
    <n v="1"/>
    <x v="1"/>
    <n v="650000"/>
    <n v="650000"/>
    <n v="45000000"/>
  </r>
  <r>
    <s v="TXN-2025-953"/>
    <s v="2025-12-14"/>
    <x v="11"/>
    <x v="11"/>
    <s v="Bambang H."/>
    <s v="Bambang H."/>
    <x v="4"/>
    <s v="PROD007"/>
    <n v="1"/>
    <x v="2"/>
    <n v="1800000"/>
    <n v="1800000"/>
    <n v="110000000"/>
  </r>
  <r>
    <s v="TXN-2025-954"/>
    <s v="2025-12-14"/>
    <x v="11"/>
    <x v="11"/>
    <s v="  budi santoso  "/>
    <s v="Budi Santoso"/>
    <x v="2"/>
    <s v="PROD008"/>
    <n v="1"/>
    <x v="2"/>
    <n v="250000"/>
    <n v="250000"/>
    <n v="110000000"/>
  </r>
  <r>
    <s v="TXN-2025-955"/>
    <s v="2025-12-14"/>
    <x v="11"/>
    <x v="11"/>
    <s v="andi WIJAYA"/>
    <s v="Andi Wijaya"/>
    <x v="2"/>
    <s v="PROD004"/>
    <n v="1"/>
    <x v="1"/>
    <n v="950000"/>
    <n v="950000"/>
    <n v="45000000"/>
  </r>
  <r>
    <s v="TXN-2025-956"/>
    <s v="2025-12-14"/>
    <x v="11"/>
    <x v="11"/>
    <s v="  DEWI lestari  "/>
    <s v="Dewi Lestari"/>
    <x v="1"/>
    <s v="PROD007"/>
    <n v="5"/>
    <x v="2"/>
    <n v="1800000"/>
    <n v="9000000"/>
    <n v="110000000"/>
  </r>
  <r>
    <s v="TXN-2025-957"/>
    <s v="2025-12-15"/>
    <x v="11"/>
    <x v="11"/>
    <s v="Ahmad Fauzi"/>
    <s v="Ahmad Fauzi"/>
    <x v="0"/>
    <s v="PROD003"/>
    <n v="2"/>
    <x v="1"/>
    <n v="1200000"/>
    <n v="2400000"/>
    <n v="45000000"/>
  </r>
  <r>
    <s v="TXN-2025-958"/>
    <s v="2025-12-15"/>
    <x v="11"/>
    <x v="11"/>
    <s v="  siti RAHMA  "/>
    <s v="Siti Rahma"/>
    <x v="3"/>
    <s v="PROD003"/>
    <n v="1"/>
    <x v="1"/>
    <n v="1200000"/>
    <n v="1200000"/>
    <n v="45000000"/>
  </r>
  <r>
    <s v="TXN-2025-959"/>
    <s v="2025-12-15"/>
    <x v="11"/>
    <x v="11"/>
    <s v="  DEWI lestari  "/>
    <s v="Dewi Lestari"/>
    <x v="1"/>
    <s v="PROD007"/>
    <n v="1"/>
    <x v="2"/>
    <n v="1800000"/>
    <n v="1800000"/>
    <n v="110000000"/>
  </r>
  <r>
    <s v="TXN-2025-960"/>
    <s v="2025-12-15"/>
    <x v="11"/>
    <x v="11"/>
    <s v="Bambang H."/>
    <s v="Bambang H."/>
    <x v="1"/>
    <s v="PROD007"/>
    <n v="2"/>
    <x v="2"/>
    <n v="1800000"/>
    <n v="3600000"/>
    <n v="110000000"/>
  </r>
  <r>
    <s v="TXN-2025-961"/>
    <s v="2025-12-15"/>
    <x v="11"/>
    <x v="11"/>
    <s v="Bambang H."/>
    <s v="Bambang H."/>
    <x v="3"/>
    <s v="PROD001"/>
    <n v="2"/>
    <x v="2"/>
    <n v="7500000"/>
    <n v="15000000"/>
    <n v="110000000"/>
  </r>
  <r>
    <s v="TXN-2025-962"/>
    <s v="2025-12-16"/>
    <x v="11"/>
    <x v="11"/>
    <s v="RINA marlina"/>
    <s v="Rina Marlina"/>
    <x v="3"/>
    <s v="PROD010"/>
    <n v="2"/>
    <x v="0"/>
    <n v="350000"/>
    <n v="700000"/>
    <n v="35000000"/>
  </r>
  <r>
    <s v="TXN-2025-963"/>
    <s v="2025-12-16"/>
    <x v="11"/>
    <x v="11"/>
    <s v="  budi santoso  "/>
    <s v="Budi Santoso"/>
    <x v="2"/>
    <s v="PROD004"/>
    <n v="4"/>
    <x v="1"/>
    <n v="950000"/>
    <n v="3800000"/>
    <n v="45000000"/>
  </r>
  <r>
    <s v="TXN-2025-964"/>
    <s v="2025-12-16"/>
    <x v="11"/>
    <x v="11"/>
    <s v="  Sari Yuliana  "/>
    <s v="Sari Yuliana"/>
    <x v="1"/>
    <s v="PROD008"/>
    <n v="2"/>
    <x v="2"/>
    <n v="250000"/>
    <n v="500000"/>
    <n v="110000000"/>
  </r>
  <r>
    <s v="TXN-2025-965"/>
    <s v="2025-12-16"/>
    <x v="11"/>
    <x v="11"/>
    <s v="andi WIJAYA"/>
    <s v="Andi Wijaya"/>
    <x v="4"/>
    <s v="PROD010"/>
    <n v="10"/>
    <x v="0"/>
    <n v="350000"/>
    <n v="3500000"/>
    <n v="35000000"/>
  </r>
  <r>
    <s v="TXN-2025-966"/>
    <s v="2025-12-17"/>
    <x v="11"/>
    <x v="11"/>
    <s v="  siti RAHMA  "/>
    <s v="Siti Rahma"/>
    <x v="4"/>
    <s v="PROD007"/>
    <n v="4"/>
    <x v="2"/>
    <n v="1800000"/>
    <n v="7200000"/>
    <n v="110000000"/>
  </r>
  <r>
    <s v="TXN-2025-967"/>
    <s v="2025-12-17"/>
    <x v="11"/>
    <x v="11"/>
    <s v="  DEWI lestari  "/>
    <s v="Dewi Lestari"/>
    <x v="1"/>
    <s v="PROD007"/>
    <n v="1"/>
    <x v="2"/>
    <n v="1800000"/>
    <n v="1800000"/>
    <n v="110000000"/>
  </r>
  <r>
    <s v="TXN-2025-968"/>
    <s v="2025-12-18"/>
    <x v="11"/>
    <x v="11"/>
    <s v="Ahmad Fauzi"/>
    <s v="Ahmad Fauzi"/>
    <x v="3"/>
    <s v="PROD001"/>
    <n v="5"/>
    <x v="2"/>
    <n v="7500000"/>
    <n v="37500000"/>
    <n v="110000000"/>
  </r>
  <r>
    <s v="TXN-2025-969"/>
    <s v="2025-12-18"/>
    <x v="11"/>
    <x v="11"/>
    <s v="  budi santoso  "/>
    <s v="Budi Santoso"/>
    <x v="0"/>
    <s v="PROD004"/>
    <n v="1"/>
    <x v="1"/>
    <n v="950000"/>
    <n v="950000"/>
    <n v="45000000"/>
  </r>
  <r>
    <s v="TXN-2025-970"/>
    <s v="2025-12-18"/>
    <x v="11"/>
    <x v="11"/>
    <s v="Ahmad Fauzi"/>
    <s v="Ahmad Fauzi"/>
    <x v="3"/>
    <s v="PROD004"/>
    <n v="3"/>
    <x v="1"/>
    <n v="950000"/>
    <n v="2850000"/>
    <n v="45000000"/>
  </r>
  <r>
    <s v="TXN-2025-971"/>
    <s v="2025-12-20"/>
    <x v="11"/>
    <x v="11"/>
    <s v=" mega utami "/>
    <s v="Mega Utami"/>
    <x v="3"/>
    <s v="PROD005"/>
    <n v="1"/>
    <x v="0"/>
    <n v="250000"/>
    <n v="250000"/>
    <n v="35000000"/>
  </r>
  <r>
    <s v="TXN-2025-972"/>
    <s v="2025-12-21"/>
    <x v="11"/>
    <x v="11"/>
    <s v="RINA marlina"/>
    <s v="Rina Marlina"/>
    <x v="0"/>
    <s v="PROD002"/>
    <n v="4"/>
    <x v="2"/>
    <n v="4500000"/>
    <n v="18000000"/>
    <n v="110000000"/>
  </r>
  <r>
    <s v="TXN-2025-973"/>
    <s v="2025-12-21"/>
    <x v="11"/>
    <x v="11"/>
    <s v="andi WIJAYA"/>
    <s v="Andi Wijaya"/>
    <x v="3"/>
    <s v="PROD010"/>
    <n v="4"/>
    <x v="0"/>
    <n v="350000"/>
    <n v="1400000"/>
    <n v="35000000"/>
  </r>
  <r>
    <s v="TXN-2025-974"/>
    <s v="2025-12-21"/>
    <x v="11"/>
    <x v="11"/>
    <s v="RINA marlina"/>
    <s v="Rina Marlina"/>
    <x v="0"/>
    <s v="PROD002"/>
    <n v="3"/>
    <x v="2"/>
    <n v="4500000"/>
    <n v="13500000"/>
    <n v="110000000"/>
  </r>
  <r>
    <s v="TXN-2025-975"/>
    <s v="2025-12-21"/>
    <x v="11"/>
    <x v="11"/>
    <s v="Bambang H."/>
    <s v="Bambang H."/>
    <x v="1"/>
    <s v="PROD009"/>
    <n v="3"/>
    <x v="1"/>
    <n v="650000"/>
    <n v="1950000"/>
    <n v="45000000"/>
  </r>
  <r>
    <s v="TXN-2025-976"/>
    <s v="2025-12-22"/>
    <x v="11"/>
    <x v="11"/>
    <s v="RINA marlina"/>
    <s v="Rina Marlina"/>
    <x v="0"/>
    <s v="PROD003"/>
    <n v="1"/>
    <x v="1"/>
    <n v="1200000"/>
    <n v="1200000"/>
    <n v="45000000"/>
  </r>
  <r>
    <s v="TXN-2025-977"/>
    <s v="2025-12-23"/>
    <x v="11"/>
    <x v="11"/>
    <s v="  siti RAHMA  "/>
    <s v="Siti Rahma"/>
    <x v="4"/>
    <s v="PROD006"/>
    <n v="1"/>
    <x v="0"/>
    <n v="280000"/>
    <n v="280000"/>
    <n v="35000000"/>
  </r>
  <r>
    <s v="TXN-2025-978"/>
    <s v="2025-12-23"/>
    <x v="11"/>
    <x v="11"/>
    <s v="Bambang H."/>
    <s v="Bambang H."/>
    <x v="0"/>
    <s v="PROD006"/>
    <n v="2"/>
    <x v="0"/>
    <n v="280000"/>
    <n v="560000"/>
    <n v="35000000"/>
  </r>
  <r>
    <s v="TXN-2025-979"/>
    <s v="2025-12-23"/>
    <x v="11"/>
    <x v="11"/>
    <s v="  DEWI lestari  "/>
    <s v="Dewi Lestari"/>
    <x v="3"/>
    <s v="PROD004"/>
    <n v="1"/>
    <x v="1"/>
    <n v="950000"/>
    <n v="950000"/>
    <n v="45000000"/>
  </r>
  <r>
    <s v="TXN-2025-980"/>
    <s v="2025-12-24"/>
    <x v="11"/>
    <x v="11"/>
    <s v="Ahmad Fauzi"/>
    <s v="Ahmad Fauzi"/>
    <x v="1"/>
    <s v="PROD008"/>
    <n v="2"/>
    <x v="2"/>
    <n v="250000"/>
    <n v="500000"/>
    <n v="110000000"/>
  </r>
  <r>
    <s v="TXN-2025-981"/>
    <s v="2025-12-24"/>
    <x v="11"/>
    <x v="11"/>
    <s v="  DEWI lestari  "/>
    <s v="Dewi Lestari"/>
    <x v="0"/>
    <s v="PROD002"/>
    <n v="1"/>
    <x v="2"/>
    <n v="4500000"/>
    <n v="4500000"/>
    <n v="110000000"/>
  </r>
  <r>
    <s v="TXN-2025-982"/>
    <s v="2025-12-25"/>
    <x v="11"/>
    <x v="11"/>
    <s v=" mega utami "/>
    <s v="Mega Utami"/>
    <x v="3"/>
    <s v="PROD005"/>
    <n v="5"/>
    <x v="0"/>
    <n v="250000"/>
    <n v="1250000"/>
    <n v="35000000"/>
  </r>
  <r>
    <s v="TXN-2025-983"/>
    <s v="2025-12-25"/>
    <x v="11"/>
    <x v="11"/>
    <s v="Bambang H."/>
    <s v="Bambang H."/>
    <x v="0"/>
    <s v="PROD008"/>
    <n v="2"/>
    <x v="2"/>
    <n v="250000"/>
    <n v="500000"/>
    <n v="110000000"/>
  </r>
  <r>
    <s v="TXN-2025-984"/>
    <s v="2025-12-26"/>
    <x v="11"/>
    <x v="11"/>
    <s v="Bambang H."/>
    <s v="Bambang H."/>
    <x v="1"/>
    <s v="PROD009"/>
    <n v="3"/>
    <x v="1"/>
    <n v="650000"/>
    <n v="1950000"/>
    <n v="45000000"/>
  </r>
  <r>
    <s v="TXN-2025-985"/>
    <s v="2025-12-26"/>
    <x v="11"/>
    <x v="11"/>
    <s v="andi WIJAYA"/>
    <s v="Andi Wijaya"/>
    <x v="1"/>
    <s v="PROD006"/>
    <n v="1"/>
    <x v="0"/>
    <n v="280000"/>
    <n v="280000"/>
    <n v="35000000"/>
  </r>
  <r>
    <s v="TXN-2025-986"/>
    <s v="2025-12-26"/>
    <x v="11"/>
    <x v="11"/>
    <s v="Bambang H."/>
    <s v="Bambang H."/>
    <x v="4"/>
    <s v="PROD010"/>
    <n v="4"/>
    <x v="0"/>
    <n v="350000"/>
    <n v="1400000"/>
    <n v="35000000"/>
  </r>
  <r>
    <s v="TXN-2025-987"/>
    <s v="2025-12-26"/>
    <x v="11"/>
    <x v="11"/>
    <s v="Ahmad Fauzi"/>
    <s v="Ahmad Fauzi"/>
    <x v="1"/>
    <s v="PROD007"/>
    <n v="4"/>
    <x v="2"/>
    <n v="1800000"/>
    <n v="7200000"/>
    <n v="110000000"/>
  </r>
  <r>
    <s v="TXN-2025-988"/>
    <s v="2025-12-26"/>
    <x v="11"/>
    <x v="11"/>
    <s v="  siti RAHMA  "/>
    <s v="Siti Rahma"/>
    <x v="3"/>
    <s v="PROD010"/>
    <n v="2"/>
    <x v="0"/>
    <n v="350000"/>
    <n v="700000"/>
    <n v="35000000"/>
  </r>
  <r>
    <s v="TXN-2025-989"/>
    <s v="2025-12-26"/>
    <x v="11"/>
    <x v="11"/>
    <s v=" mega utami "/>
    <s v="Mega Utami"/>
    <x v="1"/>
    <s v="PROD007"/>
    <n v="2"/>
    <x v="2"/>
    <n v="1800000"/>
    <n v="3600000"/>
    <n v="110000000"/>
  </r>
  <r>
    <s v="TXN-2025-990"/>
    <s v="2025-12-27"/>
    <x v="11"/>
    <x v="11"/>
    <s v="andi WIJAYA"/>
    <s v="Andi Wijaya"/>
    <x v="1"/>
    <s v="PROD010"/>
    <n v="3"/>
    <x v="0"/>
    <n v="350000"/>
    <n v="1050000"/>
    <n v="35000000"/>
  </r>
  <r>
    <s v="TXN-2025-991"/>
    <s v="2025-12-27"/>
    <x v="11"/>
    <x v="11"/>
    <s v="  Sari Yuliana  "/>
    <s v="Sari Yuliana"/>
    <x v="3"/>
    <s v="PROD002"/>
    <n v="1"/>
    <x v="2"/>
    <n v="4500000"/>
    <n v="4500000"/>
    <n v="110000000"/>
  </r>
  <r>
    <s v="TXN-2025-992"/>
    <s v="2025-12-29"/>
    <x v="11"/>
    <x v="11"/>
    <s v="Ahmad Fauzi"/>
    <s v="Ahmad Fauzi"/>
    <x v="3"/>
    <s v="PROD006"/>
    <n v="2"/>
    <x v="0"/>
    <n v="280000"/>
    <n v="560000"/>
    <n v="35000000"/>
  </r>
  <r>
    <s v="TXN-2025-993"/>
    <s v="2025-12-30"/>
    <x v="11"/>
    <x v="11"/>
    <s v="  siti RAHMA  "/>
    <s v="Siti Rahma"/>
    <x v="1"/>
    <s v="PROD006"/>
    <n v="1"/>
    <x v="0"/>
    <n v="280000"/>
    <n v="280000"/>
    <n v="35000000"/>
  </r>
  <r>
    <s v="TXN-2025-994"/>
    <s v="2025-12-30"/>
    <x v="11"/>
    <x v="11"/>
    <s v="RINA marlina"/>
    <s v="Rina Marlina"/>
    <x v="1"/>
    <s v="PROD008"/>
    <n v="1"/>
    <x v="2"/>
    <n v="250000"/>
    <n v="250000"/>
    <n v="110000000"/>
  </r>
  <r>
    <s v="TXN-2025-995"/>
    <s v="2025-12-31"/>
    <x v="11"/>
    <x v="11"/>
    <s v="  DEWI lestari  "/>
    <s v="Dewi Lestari"/>
    <x v="0"/>
    <s v="PROD010"/>
    <n v="1"/>
    <x v="0"/>
    <n v="350000"/>
    <n v="350000"/>
    <n v="35000000"/>
  </r>
  <r>
    <s v="TXN-2025-996"/>
    <s v="2025-12-31"/>
    <x v="11"/>
    <x v="11"/>
    <s v=" mega utami "/>
    <s v="Mega Utami"/>
    <x v="1"/>
    <s v="PROD003"/>
    <n v="1"/>
    <x v="1"/>
    <n v="1200000"/>
    <n v="1200000"/>
    <n v="45000000"/>
  </r>
  <r>
    <s v="TXN-2025-997"/>
    <s v="2025-12-31"/>
    <x v="11"/>
    <x v="11"/>
    <s v="Eko Prasetyo"/>
    <s v="Eko Prasetyo"/>
    <x v="4"/>
    <s v="PROD005"/>
    <n v="1"/>
    <x v="0"/>
    <n v="250000"/>
    <n v="250000"/>
    <n v="35000000"/>
  </r>
  <r>
    <s v="TXN-2025-998"/>
    <s v="2025-12-31"/>
    <x v="11"/>
    <x v="11"/>
    <s v="Ahmad Fauzi"/>
    <s v="Ahmad Fauzi"/>
    <x v="4"/>
    <s v="PROD010"/>
    <n v="1"/>
    <x v="0"/>
    <n v="350000"/>
    <n v="350000"/>
    <n v="35000000"/>
  </r>
  <r>
    <s v="TXN-2025-999"/>
    <s v="2025-12-31"/>
    <x v="11"/>
    <x v="11"/>
    <s v="  DEWI lestari  "/>
    <s v="Dewi Lestari"/>
    <x v="4"/>
    <s v="PROD010"/>
    <n v="5"/>
    <x v="0"/>
    <n v="350000"/>
    <n v="1750000"/>
    <n v="35000000"/>
  </r>
  <r>
    <s v="TXN-2025-1000"/>
    <s v="2025-12-31"/>
    <x v="11"/>
    <x v="11"/>
    <s v="  budi santoso  "/>
    <s v="Budi Santoso"/>
    <x v="4"/>
    <s v="PROD002"/>
    <n v="2"/>
    <x v="2"/>
    <n v="4500000"/>
    <n v="9000000"/>
    <n v="110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2ED65D-61C2-43C3-BE99-ABB57A44406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F8:G14" firstHeaderRow="1" firstDataRow="1" firstDataCol="1"/>
  <pivotFields count="13">
    <pivotField showAll="0"/>
    <pivotField showAll="0"/>
    <pivotField showAll="0"/>
    <pivotField showAll="0"/>
    <pivotField showAll="0"/>
    <pivotField showAll="0"/>
    <pivotField axis="axisRow" showAll="0" sortType="descending">
      <items count="6">
        <item x="3"/>
        <item x="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dataField="1" numFmtId="164" showAll="0"/>
    <pivotField numFmtId="164" showAll="0"/>
  </pivotFields>
  <rowFields count="1">
    <field x="6"/>
  </rowFields>
  <rowItems count="6">
    <i>
      <x v="1"/>
    </i>
    <i>
      <x v="2"/>
    </i>
    <i>
      <x v="3"/>
    </i>
    <i>
      <x/>
    </i>
    <i>
      <x v="4"/>
    </i>
    <i t="grand">
      <x/>
    </i>
  </rowItems>
  <colItems count="1">
    <i/>
  </colItems>
  <dataFields count="1">
    <dataField name="Sum of Total Revenue" fld="11" baseField="0" baseItem="0" numFmtId="164"/>
  </dataFields>
  <chartFormats count="6">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6" count="1" selected="0">
            <x v="1"/>
          </reference>
        </references>
      </pivotArea>
    </chartFormat>
    <chartFormat chart="6" format="14">
      <pivotArea type="data" outline="0" fieldPosition="0">
        <references count="2">
          <reference field="4294967294" count="1" selected="0">
            <x v="0"/>
          </reference>
          <reference field="6" count="1" selected="0">
            <x v="2"/>
          </reference>
        </references>
      </pivotArea>
    </chartFormat>
    <chartFormat chart="6" format="15">
      <pivotArea type="data" outline="0" fieldPosition="0">
        <references count="2">
          <reference field="4294967294" count="1" selected="0">
            <x v="0"/>
          </reference>
          <reference field="6" count="1" selected="0">
            <x v="3"/>
          </reference>
        </references>
      </pivotArea>
    </chartFormat>
    <chartFormat chart="6" format="16">
      <pivotArea type="data" outline="0" fieldPosition="0">
        <references count="2">
          <reference field="4294967294" count="1" selected="0">
            <x v="0"/>
          </reference>
          <reference field="6" count="1" selected="0">
            <x v="0"/>
          </reference>
        </references>
      </pivotArea>
    </chartFormat>
    <chartFormat chart="6" format="17">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BE9296-88A8-4F51-8EFC-B967D693699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F17:H21" firstHeaderRow="0" firstDataRow="1" firstDataCol="1"/>
  <pivotFields count="13">
    <pivotField showAll="0"/>
    <pivotField showAll="0"/>
    <pivotField showAll="0"/>
    <pivotField showAll="0"/>
    <pivotField showAll="0"/>
    <pivotField showAll="0"/>
    <pivotField showAll="0">
      <items count="6">
        <item x="3"/>
        <item x="4"/>
        <item x="0"/>
        <item x="1"/>
        <item x="2"/>
        <item t="default"/>
      </items>
    </pivotField>
    <pivotField showAll="0"/>
    <pivotField showAll="0"/>
    <pivotField axis="axisRow" showAll="0">
      <items count="4">
        <item x="2"/>
        <item x="1"/>
        <item x="0"/>
        <item t="default"/>
      </items>
    </pivotField>
    <pivotField numFmtId="164" showAll="0"/>
    <pivotField dataField="1" numFmtId="164" showAll="0"/>
    <pivotField dataField="1" numFmtId="164" showAll="0"/>
  </pivotFields>
  <rowFields count="1">
    <field x="9"/>
  </rowFields>
  <rowItems count="4">
    <i>
      <x/>
    </i>
    <i>
      <x v="1"/>
    </i>
    <i>
      <x v="2"/>
    </i>
    <i t="grand">
      <x/>
    </i>
  </rowItems>
  <colFields count="1">
    <field x="-2"/>
  </colFields>
  <colItems count="2">
    <i>
      <x/>
    </i>
    <i i="1">
      <x v="1"/>
    </i>
  </colItems>
  <dataFields count="2">
    <dataField name="Sum of Total Revenue" fld="11" baseField="0" baseItem="0" numFmtId="164"/>
    <dataField name="Average of Target Bulanan Kategori" fld="12" subtotal="average" baseField="9" baseItem="0" numFmtId="164"/>
  </dataFields>
  <chartFormats count="12">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4" format="2"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1"/>
          </reference>
        </references>
      </pivotArea>
    </chartFormat>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 chart="22" format="4"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F9FF6B-7730-4AAB-B486-38B527B88F9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16" firstHeaderRow="1" firstDataRow="1" firstDataCol="1"/>
  <pivotFields count="13">
    <pivotField showAll="0"/>
    <pivotField showAll="0"/>
    <pivotField showAll="0">
      <items count="13">
        <item x="0"/>
        <item x="1"/>
        <item x="2"/>
        <item x="3"/>
        <item x="4"/>
        <item x="5"/>
        <item x="6"/>
        <item x="7"/>
        <item x="8"/>
        <item x="9"/>
        <item x="10"/>
        <item x="11"/>
        <item t="default"/>
      </items>
    </pivotField>
    <pivotField axis="axisRow" showAll="0">
      <items count="13">
        <item x="0"/>
        <item x="1"/>
        <item x="2"/>
        <item x="3"/>
        <item x="4"/>
        <item x="5"/>
        <item x="6"/>
        <item x="7"/>
        <item x="8"/>
        <item x="9"/>
        <item x="10"/>
        <item x="11"/>
        <item t="default"/>
      </items>
    </pivotField>
    <pivotField showAll="0"/>
    <pivotField showAll="0"/>
    <pivotField showAll="0" sortType="descending">
      <items count="6">
        <item x="3"/>
        <item x="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dataField="1" numFmtId="164" showAll="0"/>
    <pivotField numFmtId="164" showAll="0"/>
  </pivotFields>
  <rowFields count="1">
    <field x="3"/>
  </rowFields>
  <rowItems count="13">
    <i>
      <x/>
    </i>
    <i>
      <x v="1"/>
    </i>
    <i>
      <x v="2"/>
    </i>
    <i>
      <x v="3"/>
    </i>
    <i>
      <x v="4"/>
    </i>
    <i>
      <x v="5"/>
    </i>
    <i>
      <x v="6"/>
    </i>
    <i>
      <x v="7"/>
    </i>
    <i>
      <x v="8"/>
    </i>
    <i>
      <x v="9"/>
    </i>
    <i>
      <x v="10"/>
    </i>
    <i>
      <x v="11"/>
    </i>
    <i t="grand">
      <x/>
    </i>
  </rowItems>
  <colItems count="1">
    <i/>
  </colItems>
  <dataFields count="1">
    <dataField name="Sum of Total Revenue" fld="11" baseField="0" baseItem="0" numFmtId="164"/>
  </dataFields>
  <chartFormats count="1">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EF0EFD-0BC0-49F8-AEDE-B3B3C6093AE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9:A20" firstHeaderRow="1" firstDataRow="1" firstDataCol="0"/>
  <pivotFields count="13">
    <pivotField showAll="0"/>
    <pivotField showAll="0"/>
    <pivotField showAll="0"/>
    <pivotField showAll="0"/>
    <pivotField showAll="0"/>
    <pivotField showAll="0"/>
    <pivotField showAll="0" sortType="descending">
      <items count="6">
        <item x="3"/>
        <item x="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dataField="1" numFmtId="164" showAll="0"/>
    <pivotField numFmtId="164" showAll="0"/>
  </pivotFields>
  <rowItems count="1">
    <i/>
  </rowItems>
  <colItems count="1">
    <i/>
  </colItems>
  <dataFields count="1">
    <dataField name="Sum of Total Revenue" fld="11" baseField="0" baseItem="0" numFmtId="164"/>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82CC643-B387-48BB-919D-65A42E70279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F2:H6" firstHeaderRow="0" firstDataRow="1" firstDataCol="1"/>
  <pivotFields count="13">
    <pivotField showAll="0"/>
    <pivotField showAll="0"/>
    <pivotField showAll="0"/>
    <pivotField showAll="0"/>
    <pivotField showAll="0"/>
    <pivotField showAll="0"/>
    <pivotField showAll="0">
      <items count="6">
        <item x="3"/>
        <item x="4"/>
        <item x="0"/>
        <item x="1"/>
        <item x="2"/>
        <item t="default"/>
      </items>
    </pivotField>
    <pivotField showAll="0"/>
    <pivotField dataField="1"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numFmtId="164" showAll="0"/>
    <pivotField dataField="1" numFmtId="164" showAll="0"/>
    <pivotField numFmtId="164" showAll="0"/>
  </pivotFields>
  <rowFields count="1">
    <field x="9"/>
  </rowFields>
  <rowItems count="4">
    <i>
      <x v="2"/>
    </i>
    <i>
      <x v="1"/>
    </i>
    <i>
      <x/>
    </i>
    <i t="grand">
      <x/>
    </i>
  </rowItems>
  <colFields count="1">
    <field x="-2"/>
  </colFields>
  <colItems count="2">
    <i>
      <x/>
    </i>
    <i i="1">
      <x v="1"/>
    </i>
  </colItems>
  <dataFields count="2">
    <dataField name="Sum of Total Revenue" fld="11" baseField="0" baseItem="0" numFmtId="164"/>
    <dataField name="Sum of Jumlah Beli" fld="8" baseField="0" baseItem="0"/>
  </dataFields>
  <chartFormats count="3">
    <chartFormat chart="7" format="0"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0"/>
          </reference>
        </references>
      </pivotArea>
    </chartFormat>
    <chartFormat chart="29"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ilayah" xr10:uid="{48EE607E-0E02-433C-989D-9346E32AF643}" sourceName="Wilayah">
  <pivotTables>
    <pivotTable tabId="6" name="PivotTable8"/>
    <pivotTable tabId="6" name="PivotTable1"/>
    <pivotTable tabId="6" name="PivotTable3"/>
    <pivotTable tabId="6" name="PivotTable4"/>
    <pivotTable tabId="6" name="PivotTable5"/>
  </pivotTables>
  <data>
    <tabular pivotCacheId="1791789638">
      <items count="5">
        <i x="3" s="1"/>
        <i x="4"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ilayah" xr10:uid="{1E0CB3CA-AB1B-41D1-B628-D74EA72450CB}" cache="Slicer_Wilayah" caption="Wilayah" columnCount="5" style="SlicerStyleDark5"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U1001"/>
  <sheetViews>
    <sheetView topLeftCell="C1" workbookViewId="0">
      <selection activeCell="L2" sqref="L2"/>
    </sheetView>
  </sheetViews>
  <sheetFormatPr defaultRowHeight="15" x14ac:dyDescent="0.25"/>
  <cols>
    <col min="1" max="1" width="14" bestFit="1" customWidth="1"/>
    <col min="2" max="2" width="10.42578125" bestFit="1" customWidth="1"/>
    <col min="3" max="3" width="10.42578125" style="12" customWidth="1"/>
    <col min="4" max="4" width="11.42578125" customWidth="1"/>
    <col min="5" max="5" width="19.85546875" bestFit="1" customWidth="1"/>
    <col min="6" max="6" width="21.140625" bestFit="1" customWidth="1"/>
    <col min="7" max="7" width="8.140625" bestFit="1" customWidth="1"/>
    <col min="8" max="8" width="9" bestFit="1" customWidth="1"/>
    <col min="9" max="9" width="11.140625" bestFit="1" customWidth="1"/>
    <col min="10" max="10" width="12.140625" customWidth="1"/>
    <col min="11" max="11" width="14.5703125" style="2" customWidth="1"/>
    <col min="12" max="12" width="13.7109375" style="2" bestFit="1" customWidth="1"/>
    <col min="13" max="13" width="22" style="2" bestFit="1" customWidth="1"/>
  </cols>
  <sheetData>
    <row r="1" spans="1:541" s="1" customFormat="1" ht="20.100000000000001" customHeight="1" x14ac:dyDescent="0.25">
      <c r="A1" s="5" t="s">
        <v>0</v>
      </c>
      <c r="B1" s="5" t="s">
        <v>1</v>
      </c>
      <c r="C1" s="5" t="s">
        <v>1403</v>
      </c>
      <c r="D1" s="5" t="s">
        <v>1406</v>
      </c>
      <c r="E1" s="5" t="s">
        <v>2</v>
      </c>
      <c r="F1" s="5" t="s">
        <v>3</v>
      </c>
      <c r="G1" s="5" t="s">
        <v>4</v>
      </c>
      <c r="H1" s="5" t="s">
        <v>5</v>
      </c>
      <c r="I1" s="5" t="s">
        <v>6</v>
      </c>
      <c r="J1" s="5" t="s">
        <v>7</v>
      </c>
      <c r="K1" s="6" t="s">
        <v>8</v>
      </c>
      <c r="L1" s="6" t="s">
        <v>9</v>
      </c>
      <c r="M1" s="6" t="s">
        <v>10</v>
      </c>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c r="DZ1" s="4"/>
      <c r="EA1" s="4"/>
      <c r="EB1" s="4"/>
      <c r="EC1" s="4"/>
      <c r="ED1" s="4"/>
      <c r="EE1" s="4"/>
      <c r="EF1" s="4"/>
      <c r="EG1" s="4"/>
      <c r="EH1" s="4"/>
      <c r="EI1" s="4"/>
      <c r="EJ1" s="4"/>
      <c r="EK1" s="4"/>
      <c r="EL1" s="4"/>
      <c r="EM1" s="4"/>
      <c r="EN1" s="4"/>
      <c r="EO1" s="4"/>
      <c r="EP1" s="4"/>
      <c r="EQ1" s="4"/>
      <c r="ER1" s="4"/>
      <c r="ES1" s="4"/>
      <c r="ET1" s="4"/>
      <c r="EU1" s="4"/>
      <c r="EV1" s="4"/>
      <c r="EW1" s="4"/>
      <c r="EX1" s="4"/>
      <c r="EY1" s="4"/>
      <c r="EZ1" s="4"/>
      <c r="FA1" s="4"/>
      <c r="FB1" s="4"/>
      <c r="FC1" s="4"/>
      <c r="FD1" s="4"/>
      <c r="FE1" s="4"/>
      <c r="FF1" s="4"/>
      <c r="FG1" s="4"/>
      <c r="FH1" s="4"/>
      <c r="FI1" s="4"/>
      <c r="FJ1" s="4"/>
      <c r="FK1" s="4"/>
      <c r="FL1" s="4"/>
      <c r="FM1" s="4"/>
      <c r="FN1" s="4"/>
      <c r="FO1" s="4"/>
      <c r="FP1" s="4"/>
      <c r="FQ1" s="4"/>
      <c r="FR1" s="4"/>
      <c r="FS1" s="4"/>
      <c r="FT1" s="4"/>
      <c r="FU1" s="4"/>
      <c r="FV1" s="4"/>
      <c r="FW1" s="4"/>
      <c r="FX1" s="4"/>
      <c r="FY1" s="4"/>
      <c r="FZ1" s="4"/>
      <c r="GA1" s="4"/>
      <c r="GB1" s="4"/>
      <c r="GC1" s="4"/>
      <c r="GD1" s="4"/>
      <c r="GE1" s="4"/>
      <c r="GF1" s="4"/>
      <c r="GG1" s="4"/>
      <c r="GH1" s="4"/>
      <c r="GI1" s="4"/>
      <c r="GJ1" s="4"/>
      <c r="GK1" s="4"/>
      <c r="GL1" s="4"/>
      <c r="GM1" s="4"/>
      <c r="GN1" s="4"/>
      <c r="GO1" s="4"/>
      <c r="GP1" s="4"/>
      <c r="GQ1" s="4"/>
      <c r="GR1" s="4"/>
      <c r="GS1" s="4"/>
      <c r="GT1" s="4"/>
      <c r="GU1" s="4"/>
      <c r="GV1" s="4"/>
      <c r="GW1" s="4"/>
      <c r="GX1" s="4"/>
      <c r="GY1" s="4"/>
      <c r="GZ1" s="4"/>
      <c r="HA1" s="4"/>
      <c r="HB1" s="4"/>
      <c r="HC1" s="4"/>
      <c r="HD1" s="4"/>
      <c r="HE1" s="4"/>
      <c r="HF1" s="4"/>
      <c r="HG1" s="4"/>
      <c r="HH1" s="4"/>
      <c r="HI1" s="4"/>
      <c r="HJ1" s="4"/>
      <c r="HK1" s="4"/>
      <c r="HL1" s="4"/>
      <c r="HM1" s="4"/>
      <c r="HN1" s="4"/>
      <c r="HO1" s="4"/>
      <c r="HP1" s="4"/>
      <c r="HQ1" s="4"/>
      <c r="HR1" s="4"/>
      <c r="HS1" s="4"/>
      <c r="HT1" s="4"/>
      <c r="HU1" s="4"/>
      <c r="HV1" s="4"/>
      <c r="HW1" s="4"/>
      <c r="HX1" s="4"/>
      <c r="HY1" s="4"/>
      <c r="HZ1" s="4"/>
      <c r="IA1" s="4"/>
      <c r="IB1" s="4"/>
      <c r="IC1" s="4"/>
      <c r="ID1" s="4"/>
      <c r="IE1" s="4"/>
      <c r="IF1" s="4"/>
      <c r="IG1" s="4"/>
      <c r="IH1" s="4"/>
      <c r="II1" s="4"/>
      <c r="IJ1" s="4"/>
      <c r="IK1" s="4"/>
      <c r="IL1" s="4"/>
      <c r="IM1" s="4"/>
      <c r="IN1" s="4"/>
      <c r="IO1" s="4"/>
      <c r="IP1" s="4"/>
      <c r="IQ1" s="4"/>
      <c r="IR1" s="4"/>
      <c r="IS1" s="4"/>
      <c r="IT1" s="4"/>
      <c r="IU1" s="4"/>
      <c r="IV1" s="4"/>
      <c r="IW1" s="4"/>
      <c r="IX1" s="4"/>
      <c r="IY1" s="4"/>
      <c r="IZ1" s="4"/>
      <c r="JA1" s="4"/>
      <c r="JB1" s="4"/>
      <c r="JC1" s="4"/>
      <c r="JD1" s="4"/>
      <c r="JE1" s="4"/>
      <c r="JF1" s="4"/>
      <c r="JG1" s="4"/>
      <c r="JH1" s="4"/>
      <c r="JI1" s="4"/>
      <c r="JJ1" s="4"/>
      <c r="JK1" s="4"/>
      <c r="JL1" s="4"/>
      <c r="JM1" s="4"/>
      <c r="JN1" s="4"/>
      <c r="JO1" s="4"/>
      <c r="JP1" s="4"/>
      <c r="JQ1" s="4"/>
      <c r="JR1" s="4"/>
      <c r="JS1" s="4"/>
      <c r="JT1" s="4"/>
      <c r="JU1" s="4"/>
      <c r="JV1" s="4"/>
      <c r="JW1" s="4"/>
      <c r="JX1" s="4"/>
      <c r="JY1" s="4"/>
      <c r="JZ1" s="4"/>
      <c r="KA1" s="4"/>
      <c r="KB1" s="4"/>
      <c r="KC1" s="4"/>
      <c r="KD1" s="4"/>
      <c r="KE1" s="4"/>
      <c r="KF1" s="4"/>
      <c r="KG1" s="4"/>
      <c r="KH1" s="4"/>
      <c r="KI1" s="4"/>
      <c r="KJ1" s="4"/>
      <c r="KK1" s="4"/>
      <c r="KL1" s="4"/>
      <c r="KM1" s="4"/>
      <c r="KN1" s="4"/>
      <c r="KO1" s="4"/>
      <c r="KP1" s="4"/>
      <c r="KQ1" s="4"/>
      <c r="KR1" s="4"/>
      <c r="KS1" s="4"/>
      <c r="KT1" s="4"/>
      <c r="KU1" s="4"/>
      <c r="KV1" s="4"/>
      <c r="KW1" s="4"/>
      <c r="KX1" s="4"/>
      <c r="KY1" s="4"/>
      <c r="KZ1" s="4"/>
      <c r="LA1" s="4"/>
      <c r="LB1" s="4"/>
      <c r="LC1" s="4"/>
      <c r="LD1" s="4"/>
      <c r="LE1" s="4"/>
      <c r="LF1" s="4"/>
      <c r="LG1" s="4"/>
      <c r="LH1" s="4"/>
      <c r="LI1" s="4"/>
      <c r="LJ1" s="4"/>
      <c r="LK1" s="4"/>
      <c r="LL1" s="4"/>
      <c r="LM1" s="4"/>
      <c r="LN1" s="4"/>
      <c r="LO1" s="4"/>
      <c r="LP1" s="4"/>
      <c r="LQ1" s="4"/>
      <c r="LR1" s="4"/>
      <c r="LS1" s="4"/>
      <c r="LT1" s="4"/>
      <c r="LU1" s="4"/>
      <c r="LV1" s="4"/>
      <c r="LW1" s="4"/>
      <c r="LX1" s="4"/>
      <c r="LY1" s="4"/>
      <c r="LZ1" s="4"/>
      <c r="MA1" s="4"/>
      <c r="MB1" s="4"/>
      <c r="MC1" s="4"/>
      <c r="MD1" s="4"/>
      <c r="ME1" s="4"/>
      <c r="MF1" s="4"/>
      <c r="MG1" s="4"/>
      <c r="MH1" s="4"/>
      <c r="MI1" s="4"/>
      <c r="MJ1" s="4"/>
      <c r="MK1" s="4"/>
      <c r="ML1" s="4"/>
      <c r="MM1" s="4"/>
      <c r="MN1" s="4"/>
      <c r="MO1" s="4"/>
      <c r="MP1" s="4"/>
      <c r="MQ1" s="4"/>
      <c r="MR1" s="4"/>
      <c r="MS1" s="4"/>
      <c r="MT1" s="4"/>
      <c r="MU1" s="4"/>
      <c r="MV1" s="4"/>
      <c r="MW1" s="4"/>
      <c r="MX1" s="4"/>
      <c r="MY1" s="4"/>
      <c r="MZ1" s="4"/>
      <c r="NA1" s="4"/>
      <c r="NB1" s="4"/>
      <c r="NC1" s="4"/>
      <c r="ND1" s="4"/>
      <c r="NE1" s="4"/>
      <c r="NF1" s="4"/>
      <c r="NG1" s="4"/>
      <c r="NH1" s="4"/>
      <c r="NI1" s="4"/>
      <c r="NJ1" s="4"/>
      <c r="NK1" s="4"/>
      <c r="NL1" s="4"/>
      <c r="NM1" s="4"/>
      <c r="NN1" s="4"/>
      <c r="NO1" s="4"/>
      <c r="NP1" s="4"/>
      <c r="NQ1" s="4"/>
      <c r="NR1" s="4"/>
      <c r="NS1" s="4"/>
      <c r="NT1" s="4"/>
      <c r="NU1" s="4"/>
      <c r="NV1" s="4"/>
      <c r="NW1" s="4"/>
      <c r="NX1" s="4"/>
      <c r="NY1" s="4"/>
      <c r="NZ1" s="4"/>
      <c r="OA1" s="4"/>
      <c r="OB1" s="4"/>
      <c r="OC1" s="4"/>
      <c r="OD1" s="4"/>
      <c r="OE1" s="4"/>
      <c r="OF1" s="4"/>
      <c r="OG1" s="4"/>
      <c r="OH1" s="4"/>
      <c r="OI1" s="4"/>
      <c r="OJ1" s="4"/>
      <c r="OK1" s="4"/>
      <c r="OL1" s="4"/>
      <c r="OM1" s="4"/>
      <c r="ON1" s="4"/>
      <c r="OO1" s="4"/>
      <c r="OP1" s="4"/>
      <c r="OQ1" s="4"/>
      <c r="OR1" s="4"/>
      <c r="OS1" s="4"/>
      <c r="OT1" s="4"/>
      <c r="OU1" s="4"/>
      <c r="OV1" s="4"/>
      <c r="OW1" s="4"/>
      <c r="OX1" s="4"/>
      <c r="OY1" s="4"/>
      <c r="OZ1" s="4"/>
      <c r="PA1" s="4"/>
      <c r="PB1" s="4"/>
      <c r="PC1" s="4"/>
      <c r="PD1" s="4"/>
      <c r="PE1" s="4"/>
      <c r="PF1" s="4"/>
      <c r="PG1" s="4"/>
      <c r="PH1" s="4"/>
      <c r="PI1" s="4"/>
      <c r="PJ1" s="4"/>
      <c r="PK1" s="4"/>
      <c r="PL1" s="4"/>
      <c r="PM1" s="4"/>
      <c r="PN1" s="4"/>
      <c r="PO1" s="4"/>
      <c r="PP1" s="4"/>
      <c r="PQ1" s="4"/>
      <c r="PR1" s="4"/>
      <c r="PS1" s="4"/>
      <c r="PT1" s="4"/>
      <c r="PU1" s="4"/>
      <c r="PV1" s="4"/>
      <c r="PW1" s="4"/>
      <c r="PX1" s="4"/>
      <c r="PY1" s="4"/>
      <c r="PZ1" s="4"/>
      <c r="QA1" s="4"/>
      <c r="QB1" s="4"/>
      <c r="QC1" s="4"/>
      <c r="QD1" s="4"/>
      <c r="QE1" s="4"/>
      <c r="QF1" s="4"/>
      <c r="QG1" s="4"/>
      <c r="QH1" s="4"/>
      <c r="QI1" s="4"/>
      <c r="QJ1" s="4"/>
      <c r="QK1" s="4"/>
      <c r="QL1" s="4"/>
      <c r="QM1" s="4"/>
      <c r="QN1" s="4"/>
      <c r="QO1" s="4"/>
      <c r="QP1" s="4"/>
      <c r="QQ1" s="4"/>
      <c r="QR1" s="4"/>
      <c r="QS1" s="4"/>
      <c r="QT1" s="4"/>
      <c r="QU1" s="4"/>
      <c r="QV1" s="4"/>
      <c r="QW1" s="4"/>
      <c r="QX1" s="4"/>
      <c r="QY1" s="4"/>
      <c r="QZ1" s="4"/>
      <c r="RA1" s="4"/>
      <c r="RB1" s="4"/>
      <c r="RC1" s="4"/>
      <c r="RD1" s="4"/>
      <c r="RE1" s="4"/>
      <c r="RF1" s="4"/>
      <c r="RG1" s="4"/>
      <c r="RH1" s="4"/>
      <c r="RI1" s="4"/>
      <c r="RJ1" s="4"/>
      <c r="RK1" s="4"/>
      <c r="RL1" s="4"/>
      <c r="RM1" s="4"/>
      <c r="RN1" s="4"/>
      <c r="RO1" s="4"/>
      <c r="RP1" s="4"/>
      <c r="RQ1" s="4"/>
      <c r="RR1" s="4"/>
      <c r="RS1" s="4"/>
      <c r="RT1" s="4"/>
      <c r="RU1" s="4"/>
      <c r="RV1" s="4"/>
      <c r="RW1" s="4"/>
      <c r="RX1" s="4"/>
      <c r="RY1" s="4"/>
      <c r="RZ1" s="4"/>
      <c r="SA1" s="4"/>
      <c r="SB1" s="4"/>
      <c r="SC1" s="4"/>
      <c r="SD1" s="4"/>
      <c r="SE1" s="4"/>
      <c r="SF1" s="4"/>
      <c r="SG1" s="4"/>
      <c r="SH1" s="4"/>
      <c r="SI1" s="4"/>
      <c r="SJ1" s="4"/>
      <c r="SK1" s="4"/>
      <c r="SL1" s="4"/>
      <c r="SM1" s="4"/>
      <c r="SN1" s="4"/>
      <c r="SO1" s="4"/>
      <c r="SP1" s="4"/>
      <c r="SQ1" s="4"/>
      <c r="SR1" s="4"/>
      <c r="SS1" s="4"/>
      <c r="ST1" s="4"/>
      <c r="SU1" s="4"/>
      <c r="SV1" s="4"/>
      <c r="SW1" s="4"/>
      <c r="SX1" s="4"/>
      <c r="SY1" s="4"/>
      <c r="SZ1" s="4"/>
      <c r="TA1" s="4"/>
      <c r="TB1" s="4"/>
      <c r="TC1" s="4"/>
      <c r="TD1" s="4"/>
      <c r="TE1" s="4"/>
      <c r="TF1" s="4"/>
      <c r="TG1" s="4"/>
      <c r="TH1" s="4"/>
      <c r="TI1" s="4"/>
      <c r="TJ1" s="4"/>
      <c r="TK1" s="4"/>
      <c r="TL1" s="4"/>
      <c r="TM1" s="4"/>
      <c r="TN1" s="4"/>
      <c r="TO1" s="4"/>
      <c r="TP1" s="4"/>
      <c r="TQ1" s="4"/>
      <c r="TR1" s="4"/>
      <c r="TS1" s="4"/>
      <c r="TT1" s="4"/>
      <c r="TU1" s="3"/>
    </row>
    <row r="2" spans="1:541" x14ac:dyDescent="0.25">
      <c r="A2" s="7" t="s">
        <v>11</v>
      </c>
      <c r="B2" s="11" t="s">
        <v>1011</v>
      </c>
      <c r="C2" s="7">
        <f>MONTH(B2)</f>
        <v>1</v>
      </c>
      <c r="D2" s="7" t="str">
        <f>TEXT(B2,"mmm")</f>
        <v>Jan</v>
      </c>
      <c r="E2" s="7" t="s">
        <v>1347</v>
      </c>
      <c r="F2" s="7" t="str">
        <f>TRIM(PROPER(E2))</f>
        <v>Rina Marlina</v>
      </c>
      <c r="G2" s="7" t="s">
        <v>1357</v>
      </c>
      <c r="H2" s="7" t="s">
        <v>1362</v>
      </c>
      <c r="I2" s="7">
        <v>2</v>
      </c>
      <c r="J2" s="7" t="str">
        <f>INDEX(Master_Produk!$C$2:$C$11,MATCH(H2,Master_Produk!$A$2:$A$11,0))</f>
        <v>Pakaian</v>
      </c>
      <c r="K2" s="8">
        <f>INDEX(Master_Produk!$E$2:$E$11,MATCH(Data_Transaksi!H2,Master_Produk!$A$2:$A$11,0))</f>
        <v>350000</v>
      </c>
      <c r="L2" s="8">
        <f>I2*K2</f>
        <v>700000</v>
      </c>
      <c r="M2" s="8">
        <f>INDEX(Master_Target!$B$2:$M$4, MATCH(J2, Master_Target!$A$2:$A$4, 0), MATCH(TEXT(B2, "[$-421]mmmm"), Master_Target!$B$1:$M$1, 0))</f>
        <v>15000000</v>
      </c>
    </row>
    <row r="3" spans="1:541" x14ac:dyDescent="0.25">
      <c r="A3" s="7" t="s">
        <v>12</v>
      </c>
      <c r="B3" s="11" t="s">
        <v>1011</v>
      </c>
      <c r="C3" s="7">
        <f t="shared" ref="C3:C66" si="0">MONTH(B3)</f>
        <v>1</v>
      </c>
      <c r="D3" s="7" t="str">
        <f t="shared" ref="D3:D66" si="1">TEXT(B3,"mmm")</f>
        <v>Jan</v>
      </c>
      <c r="E3" s="7" t="s">
        <v>1348</v>
      </c>
      <c r="F3" s="7" t="str">
        <f t="shared" ref="F3:F66" si="2">TRIM(PROPER(E3))</f>
        <v>Budi Santoso</v>
      </c>
      <c r="G3" s="7" t="s">
        <v>1357</v>
      </c>
      <c r="H3" s="7" t="s">
        <v>1363</v>
      </c>
      <c r="I3" s="7">
        <v>1</v>
      </c>
      <c r="J3" s="7" t="str">
        <f>INDEX(Master_Produk!$C$2:$C$11,MATCH(H3,Master_Produk!$A$2:$A$11,0))</f>
        <v>Pakaian</v>
      </c>
      <c r="K3" s="8">
        <f>INDEX(Master_Produk!$E$2:$E$11,MATCH(Data_Transaksi!H3,Master_Produk!$A$2:$A$11,0))</f>
        <v>250000</v>
      </c>
      <c r="L3" s="8">
        <f t="shared" ref="L3:L66" si="3">I3*K3</f>
        <v>250000</v>
      </c>
      <c r="M3" s="8">
        <f>INDEX(Master_Target!$B$2:$M$4, MATCH(J3, Master_Target!$A$2:$A$4, 0), MATCH(TEXT(B3, "[$-421]mmmm"), Master_Target!$B$1:$M$1, 0))</f>
        <v>15000000</v>
      </c>
    </row>
    <row r="4" spans="1:541" x14ac:dyDescent="0.25">
      <c r="A4" s="7" t="s">
        <v>13</v>
      </c>
      <c r="B4" s="11" t="s">
        <v>1011</v>
      </c>
      <c r="C4" s="7">
        <f t="shared" si="0"/>
        <v>1</v>
      </c>
      <c r="D4" s="7" t="str">
        <f t="shared" si="1"/>
        <v>Jan</v>
      </c>
      <c r="E4" s="7" t="s">
        <v>1349</v>
      </c>
      <c r="F4" s="7" t="str">
        <f t="shared" si="2"/>
        <v>Dewi Lestari</v>
      </c>
      <c r="G4" s="7" t="s">
        <v>1358</v>
      </c>
      <c r="H4" s="7" t="s">
        <v>1364</v>
      </c>
      <c r="I4" s="7">
        <v>1</v>
      </c>
      <c r="J4" s="7" t="str">
        <f>INDEX(Master_Produk!$C$2:$C$11,MATCH(H4,Master_Produk!$A$2:$A$11,0))</f>
        <v>Furnitur</v>
      </c>
      <c r="K4" s="8">
        <f>INDEX(Master_Produk!$E$2:$E$11,MATCH(Data_Transaksi!H4,Master_Produk!$A$2:$A$11,0))</f>
        <v>950000</v>
      </c>
      <c r="L4" s="8">
        <f t="shared" si="3"/>
        <v>950000</v>
      </c>
      <c r="M4" s="8">
        <f>INDEX(Master_Target!$B$2:$M$4, MATCH(J4, Master_Target!$A$2:$A$4, 0), MATCH(TEXT(B4, "[$-421]mmmm"), Master_Target!$B$1:$M$1, 0))</f>
        <v>20000000</v>
      </c>
    </row>
    <row r="5" spans="1:541" x14ac:dyDescent="0.25">
      <c r="A5" s="7" t="s">
        <v>14</v>
      </c>
      <c r="B5" s="11" t="s">
        <v>1011</v>
      </c>
      <c r="C5" s="7">
        <f t="shared" si="0"/>
        <v>1</v>
      </c>
      <c r="D5" s="7" t="str">
        <f t="shared" si="1"/>
        <v>Jan</v>
      </c>
      <c r="E5" s="7" t="s">
        <v>1350</v>
      </c>
      <c r="F5" s="7" t="str">
        <f t="shared" si="2"/>
        <v>Andi Wijaya</v>
      </c>
      <c r="G5" s="7" t="s">
        <v>1358</v>
      </c>
      <c r="H5" s="7" t="s">
        <v>1362</v>
      </c>
      <c r="I5" s="7">
        <v>1</v>
      </c>
      <c r="J5" s="7" t="str">
        <f>INDEX(Master_Produk!$C$2:$C$11,MATCH(H5,Master_Produk!$A$2:$A$11,0))</f>
        <v>Pakaian</v>
      </c>
      <c r="K5" s="8">
        <f>INDEX(Master_Produk!$E$2:$E$11,MATCH(Data_Transaksi!H5,Master_Produk!$A$2:$A$11,0))</f>
        <v>350000</v>
      </c>
      <c r="L5" s="8">
        <f t="shared" si="3"/>
        <v>350000</v>
      </c>
      <c r="M5" s="8">
        <f>INDEX(Master_Target!$B$2:$M$4, MATCH(J5, Master_Target!$A$2:$A$4, 0), MATCH(TEXT(B5, "[$-421]mmmm"), Master_Target!$B$1:$M$1, 0))</f>
        <v>15000000</v>
      </c>
    </row>
    <row r="6" spans="1:541" x14ac:dyDescent="0.25">
      <c r="A6" s="7" t="s">
        <v>15</v>
      </c>
      <c r="B6" s="11" t="s">
        <v>1011</v>
      </c>
      <c r="C6" s="7">
        <f t="shared" si="0"/>
        <v>1</v>
      </c>
      <c r="D6" s="7" t="str">
        <f t="shared" si="1"/>
        <v>Jan</v>
      </c>
      <c r="E6" s="7" t="s">
        <v>1350</v>
      </c>
      <c r="F6" s="7" t="str">
        <f t="shared" si="2"/>
        <v>Andi Wijaya</v>
      </c>
      <c r="G6" s="7" t="s">
        <v>1359</v>
      </c>
      <c r="H6" s="7" t="s">
        <v>1365</v>
      </c>
      <c r="I6" s="7">
        <v>1</v>
      </c>
      <c r="J6" s="7" t="str">
        <f>INDEX(Master_Produk!$C$2:$C$11,MATCH(H6,Master_Produk!$A$2:$A$11,0))</f>
        <v>Elektronik</v>
      </c>
      <c r="K6" s="8">
        <f>INDEX(Master_Produk!$E$2:$E$11,MATCH(Data_Transaksi!H6,Master_Produk!$A$2:$A$11,0))</f>
        <v>1800000</v>
      </c>
      <c r="L6" s="8">
        <f t="shared" si="3"/>
        <v>1800000</v>
      </c>
      <c r="M6" s="8">
        <f>INDEX(Master_Target!$B$2:$M$4, MATCH(J6, Master_Target!$A$2:$A$4, 0), MATCH(TEXT(B6, "[$-421]mmmm"), Master_Target!$B$1:$M$1, 0))</f>
        <v>50000000</v>
      </c>
    </row>
    <row r="7" spans="1:541" x14ac:dyDescent="0.25">
      <c r="A7" s="7" t="s">
        <v>16</v>
      </c>
      <c r="B7" s="11" t="s">
        <v>1011</v>
      </c>
      <c r="C7" s="7">
        <f t="shared" si="0"/>
        <v>1</v>
      </c>
      <c r="D7" s="7" t="str">
        <f t="shared" si="1"/>
        <v>Jan</v>
      </c>
      <c r="E7" s="7" t="s">
        <v>1351</v>
      </c>
      <c r="F7" s="7" t="str">
        <f t="shared" si="2"/>
        <v>Siti Rahma</v>
      </c>
      <c r="G7" s="7" t="s">
        <v>1360</v>
      </c>
      <c r="H7" s="7" t="s">
        <v>1362</v>
      </c>
      <c r="I7" s="7">
        <v>10</v>
      </c>
      <c r="J7" s="7" t="str">
        <f>INDEX(Master_Produk!$C$2:$C$11,MATCH(H7,Master_Produk!$A$2:$A$11,0))</f>
        <v>Pakaian</v>
      </c>
      <c r="K7" s="8">
        <f>INDEX(Master_Produk!$E$2:$E$11,MATCH(Data_Transaksi!H7,Master_Produk!$A$2:$A$11,0))</f>
        <v>350000</v>
      </c>
      <c r="L7" s="8">
        <f t="shared" si="3"/>
        <v>3500000</v>
      </c>
      <c r="M7" s="8">
        <f>INDEX(Master_Target!$B$2:$M$4, MATCH(J7, Master_Target!$A$2:$A$4, 0), MATCH(TEXT(B7, "[$-421]mmmm"), Master_Target!$B$1:$M$1, 0))</f>
        <v>15000000</v>
      </c>
    </row>
    <row r="8" spans="1:541" x14ac:dyDescent="0.25">
      <c r="A8" s="7" t="s">
        <v>17</v>
      </c>
      <c r="B8" s="11" t="s">
        <v>1012</v>
      </c>
      <c r="C8" s="7">
        <f t="shared" si="0"/>
        <v>1</v>
      </c>
      <c r="D8" s="7" t="str">
        <f t="shared" si="1"/>
        <v>Jan</v>
      </c>
      <c r="E8" s="7" t="s">
        <v>1347</v>
      </c>
      <c r="F8" s="7" t="str">
        <f t="shared" si="2"/>
        <v>Rina Marlina</v>
      </c>
      <c r="G8" s="7" t="s">
        <v>1359</v>
      </c>
      <c r="H8" s="7" t="s">
        <v>1366</v>
      </c>
      <c r="I8" s="7">
        <v>1</v>
      </c>
      <c r="J8" s="7" t="str">
        <f>INDEX(Master_Produk!$C$2:$C$11,MATCH(H8,Master_Produk!$A$2:$A$11,0))</f>
        <v>Elektronik</v>
      </c>
      <c r="K8" s="8">
        <f>INDEX(Master_Produk!$E$2:$E$11,MATCH(Data_Transaksi!H8,Master_Produk!$A$2:$A$11,0))</f>
        <v>7500000</v>
      </c>
      <c r="L8" s="8">
        <f t="shared" si="3"/>
        <v>7500000</v>
      </c>
      <c r="M8" s="8">
        <f>INDEX(Master_Target!$B$2:$M$4, MATCH(J8, Master_Target!$A$2:$A$4, 0), MATCH(TEXT(B8, "[$-421]mmmm"), Master_Target!$B$1:$M$1, 0))</f>
        <v>50000000</v>
      </c>
    </row>
    <row r="9" spans="1:541" x14ac:dyDescent="0.25">
      <c r="A9" s="7" t="s">
        <v>18</v>
      </c>
      <c r="B9" s="11" t="s">
        <v>1012</v>
      </c>
      <c r="C9" s="7">
        <f t="shared" si="0"/>
        <v>1</v>
      </c>
      <c r="D9" s="7" t="str">
        <f t="shared" si="1"/>
        <v>Jan</v>
      </c>
      <c r="E9" s="7" t="s">
        <v>1352</v>
      </c>
      <c r="F9" s="7" t="str">
        <f t="shared" si="2"/>
        <v>Ahmad Fauzi</v>
      </c>
      <c r="G9" s="7" t="s">
        <v>1358</v>
      </c>
      <c r="H9" s="7" t="s">
        <v>1367</v>
      </c>
      <c r="I9" s="7">
        <v>3</v>
      </c>
      <c r="J9" s="7" t="str">
        <f>INDEX(Master_Produk!$C$2:$C$11,MATCH(H9,Master_Produk!$A$2:$A$11,0))</f>
        <v>Elektronik</v>
      </c>
      <c r="K9" s="8">
        <f>INDEX(Master_Produk!$E$2:$E$11,MATCH(Data_Transaksi!H9,Master_Produk!$A$2:$A$11,0))</f>
        <v>250000</v>
      </c>
      <c r="L9" s="8">
        <f t="shared" si="3"/>
        <v>750000</v>
      </c>
      <c r="M9" s="8">
        <f>INDEX(Master_Target!$B$2:$M$4, MATCH(J9, Master_Target!$A$2:$A$4, 0), MATCH(TEXT(B9, "[$-421]mmmm"), Master_Target!$B$1:$M$1, 0))</f>
        <v>50000000</v>
      </c>
    </row>
    <row r="10" spans="1:541" x14ac:dyDescent="0.25">
      <c r="A10" s="7" t="s">
        <v>19</v>
      </c>
      <c r="B10" s="11" t="s">
        <v>1012</v>
      </c>
      <c r="C10" s="7">
        <f t="shared" si="0"/>
        <v>1</v>
      </c>
      <c r="D10" s="7" t="str">
        <f t="shared" si="1"/>
        <v>Jan</v>
      </c>
      <c r="E10" s="7" t="s">
        <v>1347</v>
      </c>
      <c r="F10" s="7" t="str">
        <f t="shared" si="2"/>
        <v>Rina Marlina</v>
      </c>
      <c r="G10" s="7" t="s">
        <v>1359</v>
      </c>
      <c r="H10" s="7" t="s">
        <v>1368</v>
      </c>
      <c r="I10" s="7">
        <v>1</v>
      </c>
      <c r="J10" s="7" t="str">
        <f>INDEX(Master_Produk!$C$2:$C$11,MATCH(H10,Master_Produk!$A$2:$A$11,0))</f>
        <v>Furnitur</v>
      </c>
      <c r="K10" s="8">
        <f>INDEX(Master_Produk!$E$2:$E$11,MATCH(Data_Transaksi!H10,Master_Produk!$A$2:$A$11,0))</f>
        <v>650000</v>
      </c>
      <c r="L10" s="8">
        <f t="shared" si="3"/>
        <v>650000</v>
      </c>
      <c r="M10" s="8">
        <f>INDEX(Master_Target!$B$2:$M$4, MATCH(J10, Master_Target!$A$2:$A$4, 0), MATCH(TEXT(B10, "[$-421]mmmm"), Master_Target!$B$1:$M$1, 0))</f>
        <v>20000000</v>
      </c>
    </row>
    <row r="11" spans="1:541" x14ac:dyDescent="0.25">
      <c r="A11" s="7" t="s">
        <v>20</v>
      </c>
      <c r="B11" s="11" t="s">
        <v>1013</v>
      </c>
      <c r="C11" s="7">
        <f t="shared" si="0"/>
        <v>1</v>
      </c>
      <c r="D11" s="7" t="str">
        <f t="shared" si="1"/>
        <v>Jan</v>
      </c>
      <c r="E11" s="7" t="s">
        <v>1353</v>
      </c>
      <c r="F11" s="7" t="str">
        <f t="shared" si="2"/>
        <v>Sari Yuliana</v>
      </c>
      <c r="G11" s="7" t="s">
        <v>1357</v>
      </c>
      <c r="H11" s="7" t="s">
        <v>1363</v>
      </c>
      <c r="I11" s="7">
        <v>2</v>
      </c>
      <c r="J11" s="7" t="str">
        <f>INDEX(Master_Produk!$C$2:$C$11,MATCH(H11,Master_Produk!$A$2:$A$11,0))</f>
        <v>Pakaian</v>
      </c>
      <c r="K11" s="8">
        <f>INDEX(Master_Produk!$E$2:$E$11,MATCH(Data_Transaksi!H11,Master_Produk!$A$2:$A$11,0))</f>
        <v>250000</v>
      </c>
      <c r="L11" s="8">
        <f t="shared" si="3"/>
        <v>500000</v>
      </c>
      <c r="M11" s="8">
        <f>INDEX(Master_Target!$B$2:$M$4, MATCH(J11, Master_Target!$A$2:$A$4, 0), MATCH(TEXT(B11, "[$-421]mmmm"), Master_Target!$B$1:$M$1, 0))</f>
        <v>15000000</v>
      </c>
    </row>
    <row r="12" spans="1:541" x14ac:dyDescent="0.25">
      <c r="A12" s="7" t="s">
        <v>21</v>
      </c>
      <c r="B12" s="11" t="s">
        <v>1014</v>
      </c>
      <c r="C12" s="7">
        <f t="shared" si="0"/>
        <v>1</v>
      </c>
      <c r="D12" s="7" t="str">
        <f t="shared" si="1"/>
        <v>Jan</v>
      </c>
      <c r="E12" s="7" t="s">
        <v>1354</v>
      </c>
      <c r="F12" s="7" t="str">
        <f t="shared" si="2"/>
        <v>Mega Utami</v>
      </c>
      <c r="G12" s="7" t="s">
        <v>1357</v>
      </c>
      <c r="H12" s="7" t="s">
        <v>1363</v>
      </c>
      <c r="I12" s="7">
        <v>3</v>
      </c>
      <c r="J12" s="7" t="str">
        <f>INDEX(Master_Produk!$C$2:$C$11,MATCH(H12,Master_Produk!$A$2:$A$11,0))</f>
        <v>Pakaian</v>
      </c>
      <c r="K12" s="8">
        <f>INDEX(Master_Produk!$E$2:$E$11,MATCH(Data_Transaksi!H12,Master_Produk!$A$2:$A$11,0))</f>
        <v>250000</v>
      </c>
      <c r="L12" s="8">
        <f t="shared" si="3"/>
        <v>750000</v>
      </c>
      <c r="M12" s="8">
        <f>INDEX(Master_Target!$B$2:$M$4, MATCH(J12, Master_Target!$A$2:$A$4, 0), MATCH(TEXT(B12, "[$-421]mmmm"), Master_Target!$B$1:$M$1, 0))</f>
        <v>15000000</v>
      </c>
    </row>
    <row r="13" spans="1:541" x14ac:dyDescent="0.25">
      <c r="A13" s="7" t="s">
        <v>22</v>
      </c>
      <c r="B13" s="11" t="s">
        <v>1014</v>
      </c>
      <c r="C13" s="7">
        <f t="shared" si="0"/>
        <v>1</v>
      </c>
      <c r="D13" s="7" t="str">
        <f t="shared" si="1"/>
        <v>Jan</v>
      </c>
      <c r="E13" s="7" t="s">
        <v>1348</v>
      </c>
      <c r="F13" s="7" t="str">
        <f t="shared" si="2"/>
        <v>Budi Santoso</v>
      </c>
      <c r="G13" s="7" t="s">
        <v>1358</v>
      </c>
      <c r="H13" s="7" t="s">
        <v>1367</v>
      </c>
      <c r="I13" s="7">
        <v>2</v>
      </c>
      <c r="J13" s="7" t="str">
        <f>INDEX(Master_Produk!$C$2:$C$11,MATCH(H13,Master_Produk!$A$2:$A$11,0))</f>
        <v>Elektronik</v>
      </c>
      <c r="K13" s="8">
        <f>INDEX(Master_Produk!$E$2:$E$11,MATCH(Data_Transaksi!H13,Master_Produk!$A$2:$A$11,0))</f>
        <v>250000</v>
      </c>
      <c r="L13" s="8">
        <f t="shared" si="3"/>
        <v>500000</v>
      </c>
      <c r="M13" s="8">
        <f>INDEX(Master_Target!$B$2:$M$4, MATCH(J13, Master_Target!$A$2:$A$4, 0), MATCH(TEXT(B13, "[$-421]mmmm"), Master_Target!$B$1:$M$1, 0))</f>
        <v>50000000</v>
      </c>
    </row>
    <row r="14" spans="1:541" x14ac:dyDescent="0.25">
      <c r="A14" s="7" t="s">
        <v>23</v>
      </c>
      <c r="B14" s="11" t="s">
        <v>1014</v>
      </c>
      <c r="C14" s="7">
        <f t="shared" si="0"/>
        <v>1</v>
      </c>
      <c r="D14" s="7" t="str">
        <f t="shared" si="1"/>
        <v>Jan</v>
      </c>
      <c r="E14" s="7" t="s">
        <v>1348</v>
      </c>
      <c r="F14" s="7" t="str">
        <f t="shared" si="2"/>
        <v>Budi Santoso</v>
      </c>
      <c r="G14" s="7" t="s">
        <v>1358</v>
      </c>
      <c r="H14" s="7" t="s">
        <v>1364</v>
      </c>
      <c r="I14" s="7">
        <v>2</v>
      </c>
      <c r="J14" s="7" t="str">
        <f>INDEX(Master_Produk!$C$2:$C$11,MATCH(H14,Master_Produk!$A$2:$A$11,0))</f>
        <v>Furnitur</v>
      </c>
      <c r="K14" s="8">
        <f>INDEX(Master_Produk!$E$2:$E$11,MATCH(Data_Transaksi!H14,Master_Produk!$A$2:$A$11,0))</f>
        <v>950000</v>
      </c>
      <c r="L14" s="8">
        <f t="shared" si="3"/>
        <v>1900000</v>
      </c>
      <c r="M14" s="8">
        <f>INDEX(Master_Target!$B$2:$M$4, MATCH(J14, Master_Target!$A$2:$A$4, 0), MATCH(TEXT(B14, "[$-421]mmmm"), Master_Target!$B$1:$M$1, 0))</f>
        <v>20000000</v>
      </c>
    </row>
    <row r="15" spans="1:541" x14ac:dyDescent="0.25">
      <c r="A15" s="7" t="s">
        <v>24</v>
      </c>
      <c r="B15" s="11" t="s">
        <v>1014</v>
      </c>
      <c r="C15" s="7">
        <f t="shared" si="0"/>
        <v>1</v>
      </c>
      <c r="D15" s="7" t="str">
        <f t="shared" si="1"/>
        <v>Jan</v>
      </c>
      <c r="E15" s="7" t="s">
        <v>1347</v>
      </c>
      <c r="F15" s="7" t="str">
        <f t="shared" si="2"/>
        <v>Rina Marlina</v>
      </c>
      <c r="G15" s="7" t="s">
        <v>1359</v>
      </c>
      <c r="H15" s="7" t="s">
        <v>1365</v>
      </c>
      <c r="I15" s="7">
        <v>2</v>
      </c>
      <c r="J15" s="7" t="str">
        <f>INDEX(Master_Produk!$C$2:$C$11,MATCH(H15,Master_Produk!$A$2:$A$11,0))</f>
        <v>Elektronik</v>
      </c>
      <c r="K15" s="8">
        <f>INDEX(Master_Produk!$E$2:$E$11,MATCH(Data_Transaksi!H15,Master_Produk!$A$2:$A$11,0))</f>
        <v>1800000</v>
      </c>
      <c r="L15" s="8">
        <f t="shared" si="3"/>
        <v>3600000</v>
      </c>
      <c r="M15" s="8">
        <f>INDEX(Master_Target!$B$2:$M$4, MATCH(J15, Master_Target!$A$2:$A$4, 0), MATCH(TEXT(B15, "[$-421]mmmm"), Master_Target!$B$1:$M$1, 0))</f>
        <v>50000000</v>
      </c>
    </row>
    <row r="16" spans="1:541" x14ac:dyDescent="0.25">
      <c r="A16" s="7" t="s">
        <v>25</v>
      </c>
      <c r="B16" s="11" t="s">
        <v>1015</v>
      </c>
      <c r="C16" s="7">
        <f t="shared" si="0"/>
        <v>1</v>
      </c>
      <c r="D16" s="7" t="str">
        <f t="shared" si="1"/>
        <v>Jan</v>
      </c>
      <c r="E16" s="7" t="s">
        <v>1350</v>
      </c>
      <c r="F16" s="7" t="str">
        <f t="shared" si="2"/>
        <v>Andi Wijaya</v>
      </c>
      <c r="G16" s="7" t="s">
        <v>1359</v>
      </c>
      <c r="H16" s="7" t="s">
        <v>1363</v>
      </c>
      <c r="I16" s="7">
        <v>1</v>
      </c>
      <c r="J16" s="7" t="str">
        <f>INDEX(Master_Produk!$C$2:$C$11,MATCH(H16,Master_Produk!$A$2:$A$11,0))</f>
        <v>Pakaian</v>
      </c>
      <c r="K16" s="8">
        <f>INDEX(Master_Produk!$E$2:$E$11,MATCH(Data_Transaksi!H16,Master_Produk!$A$2:$A$11,0))</f>
        <v>250000</v>
      </c>
      <c r="L16" s="8">
        <f t="shared" si="3"/>
        <v>250000</v>
      </c>
      <c r="M16" s="8">
        <f>INDEX(Master_Target!$B$2:$M$4, MATCH(J16, Master_Target!$A$2:$A$4, 0), MATCH(TEXT(B16, "[$-421]mmmm"), Master_Target!$B$1:$M$1, 0))</f>
        <v>15000000</v>
      </c>
    </row>
    <row r="17" spans="1:13" x14ac:dyDescent="0.25">
      <c r="A17" s="7" t="s">
        <v>26</v>
      </c>
      <c r="B17" s="11" t="s">
        <v>1015</v>
      </c>
      <c r="C17" s="7">
        <f t="shared" si="0"/>
        <v>1</v>
      </c>
      <c r="D17" s="7" t="str">
        <f t="shared" si="1"/>
        <v>Jan</v>
      </c>
      <c r="E17" s="7" t="s">
        <v>1350</v>
      </c>
      <c r="F17" s="7" t="str">
        <f t="shared" si="2"/>
        <v>Andi Wijaya</v>
      </c>
      <c r="G17" s="7" t="s">
        <v>1357</v>
      </c>
      <c r="H17" s="7" t="s">
        <v>1367</v>
      </c>
      <c r="I17" s="7">
        <v>4</v>
      </c>
      <c r="J17" s="7" t="str">
        <f>INDEX(Master_Produk!$C$2:$C$11,MATCH(H17,Master_Produk!$A$2:$A$11,0))</f>
        <v>Elektronik</v>
      </c>
      <c r="K17" s="8">
        <f>INDEX(Master_Produk!$E$2:$E$11,MATCH(Data_Transaksi!H17,Master_Produk!$A$2:$A$11,0))</f>
        <v>250000</v>
      </c>
      <c r="L17" s="8">
        <f t="shared" si="3"/>
        <v>1000000</v>
      </c>
      <c r="M17" s="8">
        <f>INDEX(Master_Target!$B$2:$M$4, MATCH(J17, Master_Target!$A$2:$A$4, 0), MATCH(TEXT(B17, "[$-421]mmmm"), Master_Target!$B$1:$M$1, 0))</f>
        <v>50000000</v>
      </c>
    </row>
    <row r="18" spans="1:13" x14ac:dyDescent="0.25">
      <c r="A18" s="7" t="s">
        <v>27</v>
      </c>
      <c r="B18" s="11" t="s">
        <v>1015</v>
      </c>
      <c r="C18" s="7">
        <f t="shared" si="0"/>
        <v>1</v>
      </c>
      <c r="D18" s="7" t="str">
        <f t="shared" si="1"/>
        <v>Jan</v>
      </c>
      <c r="E18" s="7" t="s">
        <v>1352</v>
      </c>
      <c r="F18" s="7" t="str">
        <f t="shared" si="2"/>
        <v>Ahmad Fauzi</v>
      </c>
      <c r="G18" s="7" t="s">
        <v>1360</v>
      </c>
      <c r="H18" s="7" t="s">
        <v>1369</v>
      </c>
      <c r="I18" s="7">
        <v>3</v>
      </c>
      <c r="J18" s="7" t="str">
        <f>INDEX(Master_Produk!$C$2:$C$11,MATCH(H18,Master_Produk!$A$2:$A$11,0))</f>
        <v>Elektronik</v>
      </c>
      <c r="K18" s="8">
        <f>INDEX(Master_Produk!$E$2:$E$11,MATCH(Data_Transaksi!H18,Master_Produk!$A$2:$A$11,0))</f>
        <v>4500000</v>
      </c>
      <c r="L18" s="8">
        <f t="shared" si="3"/>
        <v>13500000</v>
      </c>
      <c r="M18" s="8">
        <f>INDEX(Master_Target!$B$2:$M$4, MATCH(J18, Master_Target!$A$2:$A$4, 0), MATCH(TEXT(B18, "[$-421]mmmm"), Master_Target!$B$1:$M$1, 0))</f>
        <v>50000000</v>
      </c>
    </row>
    <row r="19" spans="1:13" x14ac:dyDescent="0.25">
      <c r="A19" s="7" t="s">
        <v>28</v>
      </c>
      <c r="B19" s="11" t="s">
        <v>1015</v>
      </c>
      <c r="C19" s="7">
        <f t="shared" si="0"/>
        <v>1</v>
      </c>
      <c r="D19" s="7" t="str">
        <f t="shared" si="1"/>
        <v>Jan</v>
      </c>
      <c r="E19" s="7" t="s">
        <v>1353</v>
      </c>
      <c r="F19" s="7" t="str">
        <f t="shared" si="2"/>
        <v>Sari Yuliana</v>
      </c>
      <c r="G19" s="7" t="s">
        <v>1360</v>
      </c>
      <c r="H19" s="7" t="s">
        <v>1366</v>
      </c>
      <c r="I19" s="7">
        <v>5</v>
      </c>
      <c r="J19" s="7" t="str">
        <f>INDEX(Master_Produk!$C$2:$C$11,MATCH(H19,Master_Produk!$A$2:$A$11,0))</f>
        <v>Elektronik</v>
      </c>
      <c r="K19" s="8">
        <f>INDEX(Master_Produk!$E$2:$E$11,MATCH(Data_Transaksi!H19,Master_Produk!$A$2:$A$11,0))</f>
        <v>7500000</v>
      </c>
      <c r="L19" s="8">
        <f t="shared" si="3"/>
        <v>37500000</v>
      </c>
      <c r="M19" s="8">
        <f>INDEX(Master_Target!$B$2:$M$4, MATCH(J19, Master_Target!$A$2:$A$4, 0), MATCH(TEXT(B19, "[$-421]mmmm"), Master_Target!$B$1:$M$1, 0))</f>
        <v>50000000</v>
      </c>
    </row>
    <row r="20" spans="1:13" x14ac:dyDescent="0.25">
      <c r="A20" s="7" t="s">
        <v>29</v>
      </c>
      <c r="B20" s="11" t="s">
        <v>1015</v>
      </c>
      <c r="C20" s="7">
        <f t="shared" si="0"/>
        <v>1</v>
      </c>
      <c r="D20" s="7" t="str">
        <f t="shared" si="1"/>
        <v>Jan</v>
      </c>
      <c r="E20" s="7" t="s">
        <v>1348</v>
      </c>
      <c r="F20" s="7" t="str">
        <f t="shared" si="2"/>
        <v>Budi Santoso</v>
      </c>
      <c r="G20" s="7" t="s">
        <v>1358</v>
      </c>
      <c r="H20" s="7" t="s">
        <v>1370</v>
      </c>
      <c r="I20" s="7">
        <v>1</v>
      </c>
      <c r="J20" s="7" t="str">
        <f>INDEX(Master_Produk!$C$2:$C$11,MATCH(H20,Master_Produk!$A$2:$A$11,0))</f>
        <v>Furnitur</v>
      </c>
      <c r="K20" s="8">
        <f>INDEX(Master_Produk!$E$2:$E$11,MATCH(Data_Transaksi!H20,Master_Produk!$A$2:$A$11,0))</f>
        <v>1200000</v>
      </c>
      <c r="L20" s="8">
        <f t="shared" si="3"/>
        <v>1200000</v>
      </c>
      <c r="M20" s="8">
        <f>INDEX(Master_Target!$B$2:$M$4, MATCH(J20, Master_Target!$A$2:$A$4, 0), MATCH(TEXT(B20, "[$-421]mmmm"), Master_Target!$B$1:$M$1, 0))</f>
        <v>20000000</v>
      </c>
    </row>
    <row r="21" spans="1:13" x14ac:dyDescent="0.25">
      <c r="A21" s="7" t="s">
        <v>30</v>
      </c>
      <c r="B21" s="11" t="s">
        <v>1016</v>
      </c>
      <c r="C21" s="7">
        <f t="shared" si="0"/>
        <v>1</v>
      </c>
      <c r="D21" s="7" t="str">
        <f t="shared" si="1"/>
        <v>Jan</v>
      </c>
      <c r="E21" s="7" t="s">
        <v>1352</v>
      </c>
      <c r="F21" s="7" t="str">
        <f t="shared" si="2"/>
        <v>Ahmad Fauzi</v>
      </c>
      <c r="G21" s="7" t="s">
        <v>1359</v>
      </c>
      <c r="H21" s="7" t="s">
        <v>1367</v>
      </c>
      <c r="I21" s="7">
        <v>3</v>
      </c>
      <c r="J21" s="7" t="str">
        <f>INDEX(Master_Produk!$C$2:$C$11,MATCH(H21,Master_Produk!$A$2:$A$11,0))</f>
        <v>Elektronik</v>
      </c>
      <c r="K21" s="8">
        <f>INDEX(Master_Produk!$E$2:$E$11,MATCH(Data_Transaksi!H21,Master_Produk!$A$2:$A$11,0))</f>
        <v>250000</v>
      </c>
      <c r="L21" s="8">
        <f t="shared" si="3"/>
        <v>750000</v>
      </c>
      <c r="M21" s="8">
        <f>INDEX(Master_Target!$B$2:$M$4, MATCH(J21, Master_Target!$A$2:$A$4, 0), MATCH(TEXT(B21, "[$-421]mmmm"), Master_Target!$B$1:$M$1, 0))</f>
        <v>50000000</v>
      </c>
    </row>
    <row r="22" spans="1:13" x14ac:dyDescent="0.25">
      <c r="A22" s="7" t="s">
        <v>31</v>
      </c>
      <c r="B22" s="11" t="s">
        <v>1016</v>
      </c>
      <c r="C22" s="7">
        <f t="shared" si="0"/>
        <v>1</v>
      </c>
      <c r="D22" s="7" t="str">
        <f t="shared" si="1"/>
        <v>Jan</v>
      </c>
      <c r="E22" s="7" t="s">
        <v>1350</v>
      </c>
      <c r="F22" s="7" t="str">
        <f t="shared" si="2"/>
        <v>Andi Wijaya</v>
      </c>
      <c r="G22" s="7" t="s">
        <v>1360</v>
      </c>
      <c r="H22" s="7" t="s">
        <v>1365</v>
      </c>
      <c r="I22" s="7">
        <v>5</v>
      </c>
      <c r="J22" s="7" t="str">
        <f>INDEX(Master_Produk!$C$2:$C$11,MATCH(H22,Master_Produk!$A$2:$A$11,0))</f>
        <v>Elektronik</v>
      </c>
      <c r="K22" s="8">
        <f>INDEX(Master_Produk!$E$2:$E$11,MATCH(Data_Transaksi!H22,Master_Produk!$A$2:$A$11,0))</f>
        <v>1800000</v>
      </c>
      <c r="L22" s="8">
        <f t="shared" si="3"/>
        <v>9000000</v>
      </c>
      <c r="M22" s="8">
        <f>INDEX(Master_Target!$B$2:$M$4, MATCH(J22, Master_Target!$A$2:$A$4, 0), MATCH(TEXT(B22, "[$-421]mmmm"), Master_Target!$B$1:$M$1, 0))</f>
        <v>50000000</v>
      </c>
    </row>
    <row r="23" spans="1:13" x14ac:dyDescent="0.25">
      <c r="A23" s="7" t="s">
        <v>32</v>
      </c>
      <c r="B23" s="11" t="s">
        <v>1016</v>
      </c>
      <c r="C23" s="7">
        <f t="shared" si="0"/>
        <v>1</v>
      </c>
      <c r="D23" s="7" t="str">
        <f t="shared" si="1"/>
        <v>Jan</v>
      </c>
      <c r="E23" s="7" t="s">
        <v>1352</v>
      </c>
      <c r="F23" s="7" t="str">
        <f t="shared" si="2"/>
        <v>Ahmad Fauzi</v>
      </c>
      <c r="G23" s="7" t="s">
        <v>1359</v>
      </c>
      <c r="H23" s="7" t="s">
        <v>1367</v>
      </c>
      <c r="I23" s="7">
        <v>1</v>
      </c>
      <c r="J23" s="7" t="str">
        <f>INDEX(Master_Produk!$C$2:$C$11,MATCH(H23,Master_Produk!$A$2:$A$11,0))</f>
        <v>Elektronik</v>
      </c>
      <c r="K23" s="8">
        <f>INDEX(Master_Produk!$E$2:$E$11,MATCH(Data_Transaksi!H23,Master_Produk!$A$2:$A$11,0))</f>
        <v>250000</v>
      </c>
      <c r="L23" s="8">
        <f t="shared" si="3"/>
        <v>250000</v>
      </c>
      <c r="M23" s="8">
        <f>INDEX(Master_Target!$B$2:$M$4, MATCH(J23, Master_Target!$A$2:$A$4, 0), MATCH(TEXT(B23, "[$-421]mmmm"), Master_Target!$B$1:$M$1, 0))</f>
        <v>50000000</v>
      </c>
    </row>
    <row r="24" spans="1:13" x14ac:dyDescent="0.25">
      <c r="A24" s="7" t="s">
        <v>33</v>
      </c>
      <c r="B24" s="11" t="s">
        <v>1016</v>
      </c>
      <c r="C24" s="7">
        <f t="shared" si="0"/>
        <v>1</v>
      </c>
      <c r="D24" s="7" t="str">
        <f t="shared" si="1"/>
        <v>Jan</v>
      </c>
      <c r="E24" s="7" t="s">
        <v>1354</v>
      </c>
      <c r="F24" s="7" t="str">
        <f t="shared" si="2"/>
        <v>Mega Utami</v>
      </c>
      <c r="G24" s="7" t="s">
        <v>1361</v>
      </c>
      <c r="H24" s="7" t="s">
        <v>1367</v>
      </c>
      <c r="I24" s="7">
        <v>1</v>
      </c>
      <c r="J24" s="7" t="str">
        <f>INDEX(Master_Produk!$C$2:$C$11,MATCH(H24,Master_Produk!$A$2:$A$11,0))</f>
        <v>Elektronik</v>
      </c>
      <c r="K24" s="8">
        <f>INDEX(Master_Produk!$E$2:$E$11,MATCH(Data_Transaksi!H24,Master_Produk!$A$2:$A$11,0))</f>
        <v>250000</v>
      </c>
      <c r="L24" s="8">
        <f t="shared" si="3"/>
        <v>250000</v>
      </c>
      <c r="M24" s="8">
        <f>INDEX(Master_Target!$B$2:$M$4, MATCH(J24, Master_Target!$A$2:$A$4, 0), MATCH(TEXT(B24, "[$-421]mmmm"), Master_Target!$B$1:$M$1, 0))</f>
        <v>50000000</v>
      </c>
    </row>
    <row r="25" spans="1:13" x14ac:dyDescent="0.25">
      <c r="A25" s="7" t="s">
        <v>34</v>
      </c>
      <c r="B25" s="11" t="s">
        <v>1017</v>
      </c>
      <c r="C25" s="7">
        <f t="shared" si="0"/>
        <v>1</v>
      </c>
      <c r="D25" s="7" t="str">
        <f t="shared" si="1"/>
        <v>Jan</v>
      </c>
      <c r="E25" s="7" t="s">
        <v>1350</v>
      </c>
      <c r="F25" s="7" t="str">
        <f t="shared" si="2"/>
        <v>Andi Wijaya</v>
      </c>
      <c r="G25" s="7" t="s">
        <v>1357</v>
      </c>
      <c r="H25" s="7" t="s">
        <v>1364</v>
      </c>
      <c r="I25" s="7">
        <v>3</v>
      </c>
      <c r="J25" s="7" t="str">
        <f>INDEX(Master_Produk!$C$2:$C$11,MATCH(H25,Master_Produk!$A$2:$A$11,0))</f>
        <v>Furnitur</v>
      </c>
      <c r="K25" s="8">
        <f>INDEX(Master_Produk!$E$2:$E$11,MATCH(Data_Transaksi!H25,Master_Produk!$A$2:$A$11,0))</f>
        <v>950000</v>
      </c>
      <c r="L25" s="8">
        <f t="shared" si="3"/>
        <v>2850000</v>
      </c>
      <c r="M25" s="8">
        <f>INDEX(Master_Target!$B$2:$M$4, MATCH(J25, Master_Target!$A$2:$A$4, 0), MATCH(TEXT(B25, "[$-421]mmmm"), Master_Target!$B$1:$M$1, 0))</f>
        <v>20000000</v>
      </c>
    </row>
    <row r="26" spans="1:13" x14ac:dyDescent="0.25">
      <c r="A26" s="7" t="s">
        <v>35</v>
      </c>
      <c r="B26" s="11" t="s">
        <v>1017</v>
      </c>
      <c r="C26" s="7">
        <f t="shared" si="0"/>
        <v>1</v>
      </c>
      <c r="D26" s="7" t="str">
        <f t="shared" si="1"/>
        <v>Jan</v>
      </c>
      <c r="E26" s="7" t="s">
        <v>1355</v>
      </c>
      <c r="F26" s="7" t="str">
        <f t="shared" si="2"/>
        <v>Bambang H.</v>
      </c>
      <c r="G26" s="7" t="s">
        <v>1359</v>
      </c>
      <c r="H26" s="7" t="s">
        <v>1371</v>
      </c>
      <c r="I26" s="7">
        <v>2</v>
      </c>
      <c r="J26" s="7" t="str">
        <f>INDEX(Master_Produk!$C$2:$C$11,MATCH(H26,Master_Produk!$A$2:$A$11,0))</f>
        <v>Pakaian</v>
      </c>
      <c r="K26" s="8">
        <f>INDEX(Master_Produk!$E$2:$E$11,MATCH(Data_Transaksi!H26,Master_Produk!$A$2:$A$11,0))</f>
        <v>280000</v>
      </c>
      <c r="L26" s="8">
        <f t="shared" si="3"/>
        <v>560000</v>
      </c>
      <c r="M26" s="8">
        <f>INDEX(Master_Target!$B$2:$M$4, MATCH(J26, Master_Target!$A$2:$A$4, 0), MATCH(TEXT(B26, "[$-421]mmmm"), Master_Target!$B$1:$M$1, 0))</f>
        <v>15000000</v>
      </c>
    </row>
    <row r="27" spans="1:13" x14ac:dyDescent="0.25">
      <c r="A27" s="7" t="s">
        <v>36</v>
      </c>
      <c r="B27" s="11" t="s">
        <v>1018</v>
      </c>
      <c r="C27" s="7">
        <f t="shared" si="0"/>
        <v>1</v>
      </c>
      <c r="D27" s="7" t="str">
        <f t="shared" si="1"/>
        <v>Jan</v>
      </c>
      <c r="E27" s="7" t="s">
        <v>1353</v>
      </c>
      <c r="F27" s="7" t="str">
        <f t="shared" si="2"/>
        <v>Sari Yuliana</v>
      </c>
      <c r="G27" s="7" t="s">
        <v>1359</v>
      </c>
      <c r="H27" s="7" t="s">
        <v>1362</v>
      </c>
      <c r="I27" s="7">
        <v>3</v>
      </c>
      <c r="J27" s="7" t="str">
        <f>INDEX(Master_Produk!$C$2:$C$11,MATCH(H27,Master_Produk!$A$2:$A$11,0))</f>
        <v>Pakaian</v>
      </c>
      <c r="K27" s="8">
        <f>INDEX(Master_Produk!$E$2:$E$11,MATCH(Data_Transaksi!H27,Master_Produk!$A$2:$A$11,0))</f>
        <v>350000</v>
      </c>
      <c r="L27" s="8">
        <f t="shared" si="3"/>
        <v>1050000</v>
      </c>
      <c r="M27" s="8">
        <f>INDEX(Master_Target!$B$2:$M$4, MATCH(J27, Master_Target!$A$2:$A$4, 0), MATCH(TEXT(B27, "[$-421]mmmm"), Master_Target!$B$1:$M$1, 0))</f>
        <v>15000000</v>
      </c>
    </row>
    <row r="28" spans="1:13" x14ac:dyDescent="0.25">
      <c r="A28" s="7" t="s">
        <v>37</v>
      </c>
      <c r="B28" s="11" t="s">
        <v>1018</v>
      </c>
      <c r="C28" s="7">
        <f t="shared" si="0"/>
        <v>1</v>
      </c>
      <c r="D28" s="7" t="str">
        <f t="shared" si="1"/>
        <v>Jan</v>
      </c>
      <c r="E28" s="7" t="s">
        <v>1349</v>
      </c>
      <c r="F28" s="7" t="str">
        <f t="shared" si="2"/>
        <v>Dewi Lestari</v>
      </c>
      <c r="G28" s="7" t="s">
        <v>1359</v>
      </c>
      <c r="H28" s="7" t="s">
        <v>1370</v>
      </c>
      <c r="I28" s="7">
        <v>1</v>
      </c>
      <c r="J28" s="7" t="str">
        <f>INDEX(Master_Produk!$C$2:$C$11,MATCH(H28,Master_Produk!$A$2:$A$11,0))</f>
        <v>Furnitur</v>
      </c>
      <c r="K28" s="8">
        <f>INDEX(Master_Produk!$E$2:$E$11,MATCH(Data_Transaksi!H28,Master_Produk!$A$2:$A$11,0))</f>
        <v>1200000</v>
      </c>
      <c r="L28" s="8">
        <f t="shared" si="3"/>
        <v>1200000</v>
      </c>
      <c r="M28" s="8">
        <f>INDEX(Master_Target!$B$2:$M$4, MATCH(J28, Master_Target!$A$2:$A$4, 0), MATCH(TEXT(B28, "[$-421]mmmm"), Master_Target!$B$1:$M$1, 0))</f>
        <v>20000000</v>
      </c>
    </row>
    <row r="29" spans="1:13" x14ac:dyDescent="0.25">
      <c r="A29" s="7" t="s">
        <v>38</v>
      </c>
      <c r="B29" s="11" t="s">
        <v>1018</v>
      </c>
      <c r="C29" s="7">
        <f t="shared" si="0"/>
        <v>1</v>
      </c>
      <c r="D29" s="7" t="str">
        <f t="shared" si="1"/>
        <v>Jan</v>
      </c>
      <c r="E29" s="7" t="s">
        <v>1348</v>
      </c>
      <c r="F29" s="7" t="str">
        <f t="shared" si="2"/>
        <v>Budi Santoso</v>
      </c>
      <c r="G29" s="7" t="s">
        <v>1360</v>
      </c>
      <c r="H29" s="7" t="s">
        <v>1371</v>
      </c>
      <c r="I29" s="7">
        <v>3</v>
      </c>
      <c r="J29" s="7" t="str">
        <f>INDEX(Master_Produk!$C$2:$C$11,MATCH(H29,Master_Produk!$A$2:$A$11,0))</f>
        <v>Pakaian</v>
      </c>
      <c r="K29" s="8">
        <f>INDEX(Master_Produk!$E$2:$E$11,MATCH(Data_Transaksi!H29,Master_Produk!$A$2:$A$11,0))</f>
        <v>280000</v>
      </c>
      <c r="L29" s="8">
        <f t="shared" si="3"/>
        <v>840000</v>
      </c>
      <c r="M29" s="8">
        <f>INDEX(Master_Target!$B$2:$M$4, MATCH(J29, Master_Target!$A$2:$A$4, 0), MATCH(TEXT(B29, "[$-421]mmmm"), Master_Target!$B$1:$M$1, 0))</f>
        <v>15000000</v>
      </c>
    </row>
    <row r="30" spans="1:13" x14ac:dyDescent="0.25">
      <c r="A30" s="7" t="s">
        <v>39</v>
      </c>
      <c r="B30" s="11" t="s">
        <v>1019</v>
      </c>
      <c r="C30" s="7">
        <f t="shared" si="0"/>
        <v>1</v>
      </c>
      <c r="D30" s="7" t="str">
        <f t="shared" si="1"/>
        <v>Jan</v>
      </c>
      <c r="E30" s="7" t="s">
        <v>1351</v>
      </c>
      <c r="F30" s="7" t="str">
        <f t="shared" si="2"/>
        <v>Siti Rahma</v>
      </c>
      <c r="G30" s="7" t="s">
        <v>1359</v>
      </c>
      <c r="H30" s="7" t="s">
        <v>1371</v>
      </c>
      <c r="I30" s="7">
        <v>1</v>
      </c>
      <c r="J30" s="7" t="str">
        <f>INDEX(Master_Produk!$C$2:$C$11,MATCH(H30,Master_Produk!$A$2:$A$11,0))</f>
        <v>Pakaian</v>
      </c>
      <c r="K30" s="8">
        <f>INDEX(Master_Produk!$E$2:$E$11,MATCH(Data_Transaksi!H30,Master_Produk!$A$2:$A$11,0))</f>
        <v>280000</v>
      </c>
      <c r="L30" s="8">
        <f t="shared" si="3"/>
        <v>280000</v>
      </c>
      <c r="M30" s="8">
        <f>INDEX(Master_Target!$B$2:$M$4, MATCH(J30, Master_Target!$A$2:$A$4, 0), MATCH(TEXT(B30, "[$-421]mmmm"), Master_Target!$B$1:$M$1, 0))</f>
        <v>15000000</v>
      </c>
    </row>
    <row r="31" spans="1:13" x14ac:dyDescent="0.25">
      <c r="A31" s="7" t="s">
        <v>40</v>
      </c>
      <c r="B31" s="11" t="s">
        <v>1019</v>
      </c>
      <c r="C31" s="7">
        <f t="shared" si="0"/>
        <v>1</v>
      </c>
      <c r="D31" s="7" t="str">
        <f t="shared" si="1"/>
        <v>Jan</v>
      </c>
      <c r="E31" s="7" t="s">
        <v>1354</v>
      </c>
      <c r="F31" s="7" t="str">
        <f t="shared" si="2"/>
        <v>Mega Utami</v>
      </c>
      <c r="G31" s="7" t="s">
        <v>1361</v>
      </c>
      <c r="H31" s="7" t="s">
        <v>1371</v>
      </c>
      <c r="I31" s="7">
        <v>1</v>
      </c>
      <c r="J31" s="7" t="str">
        <f>INDEX(Master_Produk!$C$2:$C$11,MATCH(H31,Master_Produk!$A$2:$A$11,0))</f>
        <v>Pakaian</v>
      </c>
      <c r="K31" s="8">
        <f>INDEX(Master_Produk!$E$2:$E$11,MATCH(Data_Transaksi!H31,Master_Produk!$A$2:$A$11,0))</f>
        <v>280000</v>
      </c>
      <c r="L31" s="8">
        <f t="shared" si="3"/>
        <v>280000</v>
      </c>
      <c r="M31" s="8">
        <f>INDEX(Master_Target!$B$2:$M$4, MATCH(J31, Master_Target!$A$2:$A$4, 0), MATCH(TEXT(B31, "[$-421]mmmm"), Master_Target!$B$1:$M$1, 0))</f>
        <v>15000000</v>
      </c>
    </row>
    <row r="32" spans="1:13" x14ac:dyDescent="0.25">
      <c r="A32" s="7" t="s">
        <v>41</v>
      </c>
      <c r="B32" s="11" t="s">
        <v>1019</v>
      </c>
      <c r="C32" s="7">
        <f t="shared" si="0"/>
        <v>1</v>
      </c>
      <c r="D32" s="7" t="str">
        <f t="shared" si="1"/>
        <v>Jan</v>
      </c>
      <c r="E32" s="7" t="s">
        <v>1356</v>
      </c>
      <c r="F32" s="7" t="str">
        <f t="shared" si="2"/>
        <v>Eko Prasetyo</v>
      </c>
      <c r="G32" s="7" t="s">
        <v>1360</v>
      </c>
      <c r="H32" s="7" t="s">
        <v>1365</v>
      </c>
      <c r="I32" s="7">
        <v>1</v>
      </c>
      <c r="J32" s="7" t="str">
        <f>INDEX(Master_Produk!$C$2:$C$11,MATCH(H32,Master_Produk!$A$2:$A$11,0))</f>
        <v>Elektronik</v>
      </c>
      <c r="K32" s="8">
        <f>INDEX(Master_Produk!$E$2:$E$11,MATCH(Data_Transaksi!H32,Master_Produk!$A$2:$A$11,0))</f>
        <v>1800000</v>
      </c>
      <c r="L32" s="8">
        <f t="shared" si="3"/>
        <v>1800000</v>
      </c>
      <c r="M32" s="8">
        <f>INDEX(Master_Target!$B$2:$M$4, MATCH(J32, Master_Target!$A$2:$A$4, 0), MATCH(TEXT(B32, "[$-421]mmmm"), Master_Target!$B$1:$M$1, 0))</f>
        <v>50000000</v>
      </c>
    </row>
    <row r="33" spans="1:13" x14ac:dyDescent="0.25">
      <c r="A33" s="7" t="s">
        <v>42</v>
      </c>
      <c r="B33" s="11" t="s">
        <v>1020</v>
      </c>
      <c r="C33" s="7">
        <f t="shared" si="0"/>
        <v>1</v>
      </c>
      <c r="D33" s="7" t="str">
        <f t="shared" si="1"/>
        <v>Jan</v>
      </c>
      <c r="E33" s="7" t="s">
        <v>1349</v>
      </c>
      <c r="F33" s="7" t="str">
        <f t="shared" si="2"/>
        <v>Dewi Lestari</v>
      </c>
      <c r="G33" s="7" t="s">
        <v>1358</v>
      </c>
      <c r="H33" s="7" t="s">
        <v>1370</v>
      </c>
      <c r="I33" s="7">
        <v>3</v>
      </c>
      <c r="J33" s="7" t="str">
        <f>INDEX(Master_Produk!$C$2:$C$11,MATCH(H33,Master_Produk!$A$2:$A$11,0))</f>
        <v>Furnitur</v>
      </c>
      <c r="K33" s="8">
        <f>INDEX(Master_Produk!$E$2:$E$11,MATCH(Data_Transaksi!H33,Master_Produk!$A$2:$A$11,0))</f>
        <v>1200000</v>
      </c>
      <c r="L33" s="8">
        <f t="shared" si="3"/>
        <v>3600000</v>
      </c>
      <c r="M33" s="8">
        <f>INDEX(Master_Target!$B$2:$M$4, MATCH(J33, Master_Target!$A$2:$A$4, 0), MATCH(TEXT(B33, "[$-421]mmmm"), Master_Target!$B$1:$M$1, 0))</f>
        <v>20000000</v>
      </c>
    </row>
    <row r="34" spans="1:13" x14ac:dyDescent="0.25">
      <c r="A34" s="7" t="s">
        <v>43</v>
      </c>
      <c r="B34" s="11" t="s">
        <v>1020</v>
      </c>
      <c r="C34" s="7">
        <f t="shared" si="0"/>
        <v>1</v>
      </c>
      <c r="D34" s="7" t="str">
        <f t="shared" si="1"/>
        <v>Jan</v>
      </c>
      <c r="E34" s="7" t="s">
        <v>1351</v>
      </c>
      <c r="F34" s="7" t="str">
        <f t="shared" si="2"/>
        <v>Siti Rahma</v>
      </c>
      <c r="G34" s="7" t="s">
        <v>1358</v>
      </c>
      <c r="H34" s="7" t="s">
        <v>1371</v>
      </c>
      <c r="I34" s="7">
        <v>2</v>
      </c>
      <c r="J34" s="7" t="str">
        <f>INDEX(Master_Produk!$C$2:$C$11,MATCH(H34,Master_Produk!$A$2:$A$11,0))</f>
        <v>Pakaian</v>
      </c>
      <c r="K34" s="8">
        <f>INDEX(Master_Produk!$E$2:$E$11,MATCH(Data_Transaksi!H34,Master_Produk!$A$2:$A$11,0))</f>
        <v>280000</v>
      </c>
      <c r="L34" s="8">
        <f t="shared" si="3"/>
        <v>560000</v>
      </c>
      <c r="M34" s="8">
        <f>INDEX(Master_Target!$B$2:$M$4, MATCH(J34, Master_Target!$A$2:$A$4, 0), MATCH(TEXT(B34, "[$-421]mmmm"), Master_Target!$B$1:$M$1, 0))</f>
        <v>15000000</v>
      </c>
    </row>
    <row r="35" spans="1:13" x14ac:dyDescent="0.25">
      <c r="A35" s="7" t="s">
        <v>44</v>
      </c>
      <c r="B35" s="11" t="s">
        <v>1021</v>
      </c>
      <c r="C35" s="7">
        <f t="shared" si="0"/>
        <v>1</v>
      </c>
      <c r="D35" s="7" t="str">
        <f t="shared" si="1"/>
        <v>Jan</v>
      </c>
      <c r="E35" s="7" t="s">
        <v>1350</v>
      </c>
      <c r="F35" s="7" t="str">
        <f t="shared" si="2"/>
        <v>Andi Wijaya</v>
      </c>
      <c r="G35" s="7" t="s">
        <v>1357</v>
      </c>
      <c r="H35" s="7" t="s">
        <v>1368</v>
      </c>
      <c r="I35" s="7">
        <v>2</v>
      </c>
      <c r="J35" s="7" t="str">
        <f>INDEX(Master_Produk!$C$2:$C$11,MATCH(H35,Master_Produk!$A$2:$A$11,0))</f>
        <v>Furnitur</v>
      </c>
      <c r="K35" s="8">
        <f>INDEX(Master_Produk!$E$2:$E$11,MATCH(Data_Transaksi!H35,Master_Produk!$A$2:$A$11,0))</f>
        <v>650000</v>
      </c>
      <c r="L35" s="8">
        <f t="shared" si="3"/>
        <v>1300000</v>
      </c>
      <c r="M35" s="8">
        <f>INDEX(Master_Target!$B$2:$M$4, MATCH(J35, Master_Target!$A$2:$A$4, 0), MATCH(TEXT(B35, "[$-421]mmmm"), Master_Target!$B$1:$M$1, 0))</f>
        <v>20000000</v>
      </c>
    </row>
    <row r="36" spans="1:13" x14ac:dyDescent="0.25">
      <c r="A36" s="7" t="s">
        <v>45</v>
      </c>
      <c r="B36" s="11" t="s">
        <v>1021</v>
      </c>
      <c r="C36" s="7">
        <f t="shared" si="0"/>
        <v>1</v>
      </c>
      <c r="D36" s="7" t="str">
        <f t="shared" si="1"/>
        <v>Jan</v>
      </c>
      <c r="E36" s="7" t="s">
        <v>1356</v>
      </c>
      <c r="F36" s="7" t="str">
        <f t="shared" si="2"/>
        <v>Eko Prasetyo</v>
      </c>
      <c r="G36" s="7" t="s">
        <v>1361</v>
      </c>
      <c r="H36" s="7" t="s">
        <v>1368</v>
      </c>
      <c r="I36" s="7">
        <v>1</v>
      </c>
      <c r="J36" s="7" t="str">
        <f>INDEX(Master_Produk!$C$2:$C$11,MATCH(H36,Master_Produk!$A$2:$A$11,0))</f>
        <v>Furnitur</v>
      </c>
      <c r="K36" s="8">
        <f>INDEX(Master_Produk!$E$2:$E$11,MATCH(Data_Transaksi!H36,Master_Produk!$A$2:$A$11,0))</f>
        <v>650000</v>
      </c>
      <c r="L36" s="8">
        <f t="shared" si="3"/>
        <v>650000</v>
      </c>
      <c r="M36" s="8">
        <f>INDEX(Master_Target!$B$2:$M$4, MATCH(J36, Master_Target!$A$2:$A$4, 0), MATCH(TEXT(B36, "[$-421]mmmm"), Master_Target!$B$1:$M$1, 0))</f>
        <v>20000000</v>
      </c>
    </row>
    <row r="37" spans="1:13" x14ac:dyDescent="0.25">
      <c r="A37" s="7" t="s">
        <v>46</v>
      </c>
      <c r="B37" s="11" t="s">
        <v>1021</v>
      </c>
      <c r="C37" s="7">
        <f t="shared" si="0"/>
        <v>1</v>
      </c>
      <c r="D37" s="7" t="str">
        <f t="shared" si="1"/>
        <v>Jan</v>
      </c>
      <c r="E37" s="7" t="s">
        <v>1347</v>
      </c>
      <c r="F37" s="7" t="str">
        <f t="shared" si="2"/>
        <v>Rina Marlina</v>
      </c>
      <c r="G37" s="7" t="s">
        <v>1359</v>
      </c>
      <c r="H37" s="7" t="s">
        <v>1369</v>
      </c>
      <c r="I37" s="7">
        <v>4</v>
      </c>
      <c r="J37" s="7" t="str">
        <f>INDEX(Master_Produk!$C$2:$C$11,MATCH(H37,Master_Produk!$A$2:$A$11,0))</f>
        <v>Elektronik</v>
      </c>
      <c r="K37" s="8">
        <f>INDEX(Master_Produk!$E$2:$E$11,MATCH(Data_Transaksi!H37,Master_Produk!$A$2:$A$11,0))</f>
        <v>4500000</v>
      </c>
      <c r="L37" s="8">
        <f t="shared" si="3"/>
        <v>18000000</v>
      </c>
      <c r="M37" s="8">
        <f>INDEX(Master_Target!$B$2:$M$4, MATCH(J37, Master_Target!$A$2:$A$4, 0), MATCH(TEXT(B37, "[$-421]mmmm"), Master_Target!$B$1:$M$1, 0))</f>
        <v>50000000</v>
      </c>
    </row>
    <row r="38" spans="1:13" x14ac:dyDescent="0.25">
      <c r="A38" s="7" t="s">
        <v>47</v>
      </c>
      <c r="B38" s="11" t="s">
        <v>1022</v>
      </c>
      <c r="C38" s="7">
        <f t="shared" si="0"/>
        <v>1</v>
      </c>
      <c r="D38" s="7" t="str">
        <f t="shared" si="1"/>
        <v>Jan</v>
      </c>
      <c r="E38" s="7" t="s">
        <v>1347</v>
      </c>
      <c r="F38" s="7" t="str">
        <f t="shared" si="2"/>
        <v>Rina Marlina</v>
      </c>
      <c r="G38" s="7" t="s">
        <v>1361</v>
      </c>
      <c r="H38" s="7" t="s">
        <v>1371</v>
      </c>
      <c r="I38" s="7">
        <v>1</v>
      </c>
      <c r="J38" s="7" t="str">
        <f>INDEX(Master_Produk!$C$2:$C$11,MATCH(H38,Master_Produk!$A$2:$A$11,0))</f>
        <v>Pakaian</v>
      </c>
      <c r="K38" s="8">
        <f>INDEX(Master_Produk!$E$2:$E$11,MATCH(Data_Transaksi!H38,Master_Produk!$A$2:$A$11,0))</f>
        <v>280000</v>
      </c>
      <c r="L38" s="8">
        <f t="shared" si="3"/>
        <v>280000</v>
      </c>
      <c r="M38" s="8">
        <f>INDEX(Master_Target!$B$2:$M$4, MATCH(J38, Master_Target!$A$2:$A$4, 0), MATCH(TEXT(B38, "[$-421]mmmm"), Master_Target!$B$1:$M$1, 0))</f>
        <v>15000000</v>
      </c>
    </row>
    <row r="39" spans="1:13" x14ac:dyDescent="0.25">
      <c r="A39" s="7" t="s">
        <v>48</v>
      </c>
      <c r="B39" s="11" t="s">
        <v>1022</v>
      </c>
      <c r="C39" s="7">
        <f t="shared" si="0"/>
        <v>1</v>
      </c>
      <c r="D39" s="7" t="str">
        <f t="shared" si="1"/>
        <v>Jan</v>
      </c>
      <c r="E39" s="7" t="s">
        <v>1354</v>
      </c>
      <c r="F39" s="7" t="str">
        <f t="shared" si="2"/>
        <v>Mega Utami</v>
      </c>
      <c r="G39" s="7" t="s">
        <v>1358</v>
      </c>
      <c r="H39" s="7" t="s">
        <v>1364</v>
      </c>
      <c r="I39" s="7">
        <v>3</v>
      </c>
      <c r="J39" s="7" t="str">
        <f>INDEX(Master_Produk!$C$2:$C$11,MATCH(H39,Master_Produk!$A$2:$A$11,0))</f>
        <v>Furnitur</v>
      </c>
      <c r="K39" s="8">
        <f>INDEX(Master_Produk!$E$2:$E$11,MATCH(Data_Transaksi!H39,Master_Produk!$A$2:$A$11,0))</f>
        <v>950000</v>
      </c>
      <c r="L39" s="8">
        <f t="shared" si="3"/>
        <v>2850000</v>
      </c>
      <c r="M39" s="8">
        <f>INDEX(Master_Target!$B$2:$M$4, MATCH(J39, Master_Target!$A$2:$A$4, 0), MATCH(TEXT(B39, "[$-421]mmmm"), Master_Target!$B$1:$M$1, 0))</f>
        <v>20000000</v>
      </c>
    </row>
    <row r="40" spans="1:13" x14ac:dyDescent="0.25">
      <c r="A40" s="7" t="s">
        <v>49</v>
      </c>
      <c r="B40" s="11" t="s">
        <v>1022</v>
      </c>
      <c r="C40" s="7">
        <f t="shared" si="0"/>
        <v>1</v>
      </c>
      <c r="D40" s="7" t="str">
        <f t="shared" si="1"/>
        <v>Jan</v>
      </c>
      <c r="E40" s="7" t="s">
        <v>1347</v>
      </c>
      <c r="F40" s="7" t="str">
        <f t="shared" si="2"/>
        <v>Rina Marlina</v>
      </c>
      <c r="G40" s="7" t="s">
        <v>1359</v>
      </c>
      <c r="H40" s="7" t="s">
        <v>1367</v>
      </c>
      <c r="I40" s="7">
        <v>2</v>
      </c>
      <c r="J40" s="7" t="str">
        <f>INDEX(Master_Produk!$C$2:$C$11,MATCH(H40,Master_Produk!$A$2:$A$11,0))</f>
        <v>Elektronik</v>
      </c>
      <c r="K40" s="8">
        <f>INDEX(Master_Produk!$E$2:$E$11,MATCH(Data_Transaksi!H40,Master_Produk!$A$2:$A$11,0))</f>
        <v>250000</v>
      </c>
      <c r="L40" s="8">
        <f t="shared" si="3"/>
        <v>500000</v>
      </c>
      <c r="M40" s="8">
        <f>INDEX(Master_Target!$B$2:$M$4, MATCH(J40, Master_Target!$A$2:$A$4, 0), MATCH(TEXT(B40, "[$-421]mmmm"), Master_Target!$B$1:$M$1, 0))</f>
        <v>50000000</v>
      </c>
    </row>
    <row r="41" spans="1:13" x14ac:dyDescent="0.25">
      <c r="A41" s="7" t="s">
        <v>50</v>
      </c>
      <c r="B41" s="11" t="s">
        <v>1022</v>
      </c>
      <c r="C41" s="7">
        <f t="shared" si="0"/>
        <v>1</v>
      </c>
      <c r="D41" s="7" t="str">
        <f t="shared" si="1"/>
        <v>Jan</v>
      </c>
      <c r="E41" s="7" t="s">
        <v>1356</v>
      </c>
      <c r="F41" s="7" t="str">
        <f t="shared" si="2"/>
        <v>Eko Prasetyo</v>
      </c>
      <c r="G41" s="7" t="s">
        <v>1361</v>
      </c>
      <c r="H41" s="7" t="s">
        <v>1369</v>
      </c>
      <c r="I41" s="7">
        <v>1</v>
      </c>
      <c r="J41" s="7" t="str">
        <f>INDEX(Master_Produk!$C$2:$C$11,MATCH(H41,Master_Produk!$A$2:$A$11,0))</f>
        <v>Elektronik</v>
      </c>
      <c r="K41" s="8">
        <f>INDEX(Master_Produk!$E$2:$E$11,MATCH(Data_Transaksi!H41,Master_Produk!$A$2:$A$11,0))</f>
        <v>4500000</v>
      </c>
      <c r="L41" s="8">
        <f t="shared" si="3"/>
        <v>4500000</v>
      </c>
      <c r="M41" s="8">
        <f>INDEX(Master_Target!$B$2:$M$4, MATCH(J41, Master_Target!$A$2:$A$4, 0), MATCH(TEXT(B41, "[$-421]mmmm"), Master_Target!$B$1:$M$1, 0))</f>
        <v>50000000</v>
      </c>
    </row>
    <row r="42" spans="1:13" x14ac:dyDescent="0.25">
      <c r="A42" s="7" t="s">
        <v>51</v>
      </c>
      <c r="B42" s="11" t="s">
        <v>1023</v>
      </c>
      <c r="C42" s="7">
        <f t="shared" si="0"/>
        <v>1</v>
      </c>
      <c r="D42" s="7" t="str">
        <f t="shared" si="1"/>
        <v>Jan</v>
      </c>
      <c r="E42" s="7" t="s">
        <v>1356</v>
      </c>
      <c r="F42" s="7" t="str">
        <f t="shared" si="2"/>
        <v>Eko Prasetyo</v>
      </c>
      <c r="G42" s="7" t="s">
        <v>1360</v>
      </c>
      <c r="H42" s="7" t="s">
        <v>1363</v>
      </c>
      <c r="I42" s="7">
        <v>2</v>
      </c>
      <c r="J42" s="7" t="str">
        <f>INDEX(Master_Produk!$C$2:$C$11,MATCH(H42,Master_Produk!$A$2:$A$11,0))</f>
        <v>Pakaian</v>
      </c>
      <c r="K42" s="8">
        <f>INDEX(Master_Produk!$E$2:$E$11,MATCH(Data_Transaksi!H42,Master_Produk!$A$2:$A$11,0))</f>
        <v>250000</v>
      </c>
      <c r="L42" s="8">
        <f t="shared" si="3"/>
        <v>500000</v>
      </c>
      <c r="M42" s="8">
        <f>INDEX(Master_Target!$B$2:$M$4, MATCH(J42, Master_Target!$A$2:$A$4, 0), MATCH(TEXT(B42, "[$-421]mmmm"), Master_Target!$B$1:$M$1, 0))</f>
        <v>15000000</v>
      </c>
    </row>
    <row r="43" spans="1:13" x14ac:dyDescent="0.25">
      <c r="A43" s="7" t="s">
        <v>52</v>
      </c>
      <c r="B43" s="11" t="s">
        <v>1023</v>
      </c>
      <c r="C43" s="7">
        <f t="shared" si="0"/>
        <v>1</v>
      </c>
      <c r="D43" s="7" t="str">
        <f t="shared" si="1"/>
        <v>Jan</v>
      </c>
      <c r="E43" s="7" t="s">
        <v>1353</v>
      </c>
      <c r="F43" s="7" t="str">
        <f t="shared" si="2"/>
        <v>Sari Yuliana</v>
      </c>
      <c r="G43" s="7" t="s">
        <v>1359</v>
      </c>
      <c r="H43" s="7" t="s">
        <v>1367</v>
      </c>
      <c r="I43" s="7">
        <v>1</v>
      </c>
      <c r="J43" s="7" t="str">
        <f>INDEX(Master_Produk!$C$2:$C$11,MATCH(H43,Master_Produk!$A$2:$A$11,0))</f>
        <v>Elektronik</v>
      </c>
      <c r="K43" s="8">
        <f>INDEX(Master_Produk!$E$2:$E$11,MATCH(Data_Transaksi!H43,Master_Produk!$A$2:$A$11,0))</f>
        <v>250000</v>
      </c>
      <c r="L43" s="8">
        <f t="shared" si="3"/>
        <v>250000</v>
      </c>
      <c r="M43" s="8">
        <f>INDEX(Master_Target!$B$2:$M$4, MATCH(J43, Master_Target!$A$2:$A$4, 0), MATCH(TEXT(B43, "[$-421]mmmm"), Master_Target!$B$1:$M$1, 0))</f>
        <v>50000000</v>
      </c>
    </row>
    <row r="44" spans="1:13" x14ac:dyDescent="0.25">
      <c r="A44" s="7" t="s">
        <v>53</v>
      </c>
      <c r="B44" s="11" t="s">
        <v>1023</v>
      </c>
      <c r="C44" s="7">
        <f t="shared" si="0"/>
        <v>1</v>
      </c>
      <c r="D44" s="7" t="str">
        <f t="shared" si="1"/>
        <v>Jan</v>
      </c>
      <c r="E44" s="7" t="s">
        <v>1349</v>
      </c>
      <c r="F44" s="7" t="str">
        <f t="shared" si="2"/>
        <v>Dewi Lestari</v>
      </c>
      <c r="G44" s="7" t="s">
        <v>1360</v>
      </c>
      <c r="H44" s="7" t="s">
        <v>1364</v>
      </c>
      <c r="I44" s="7">
        <v>3</v>
      </c>
      <c r="J44" s="7" t="str">
        <f>INDEX(Master_Produk!$C$2:$C$11,MATCH(H44,Master_Produk!$A$2:$A$11,0))</f>
        <v>Furnitur</v>
      </c>
      <c r="K44" s="8">
        <f>INDEX(Master_Produk!$E$2:$E$11,MATCH(Data_Transaksi!H44,Master_Produk!$A$2:$A$11,0))</f>
        <v>950000</v>
      </c>
      <c r="L44" s="8">
        <f t="shared" si="3"/>
        <v>2850000</v>
      </c>
      <c r="M44" s="8">
        <f>INDEX(Master_Target!$B$2:$M$4, MATCH(J44, Master_Target!$A$2:$A$4, 0), MATCH(TEXT(B44, "[$-421]mmmm"), Master_Target!$B$1:$M$1, 0))</f>
        <v>20000000</v>
      </c>
    </row>
    <row r="45" spans="1:13" x14ac:dyDescent="0.25">
      <c r="A45" s="7" t="s">
        <v>54</v>
      </c>
      <c r="B45" s="11" t="s">
        <v>1023</v>
      </c>
      <c r="C45" s="7">
        <f t="shared" si="0"/>
        <v>1</v>
      </c>
      <c r="D45" s="7" t="str">
        <f t="shared" si="1"/>
        <v>Jan</v>
      </c>
      <c r="E45" s="7" t="s">
        <v>1348</v>
      </c>
      <c r="F45" s="7" t="str">
        <f t="shared" si="2"/>
        <v>Budi Santoso</v>
      </c>
      <c r="G45" s="7" t="s">
        <v>1361</v>
      </c>
      <c r="H45" s="7" t="s">
        <v>1370</v>
      </c>
      <c r="I45" s="7">
        <v>2</v>
      </c>
      <c r="J45" s="7" t="str">
        <f>INDEX(Master_Produk!$C$2:$C$11,MATCH(H45,Master_Produk!$A$2:$A$11,0))</f>
        <v>Furnitur</v>
      </c>
      <c r="K45" s="8">
        <f>INDEX(Master_Produk!$E$2:$E$11,MATCH(Data_Transaksi!H45,Master_Produk!$A$2:$A$11,0))</f>
        <v>1200000</v>
      </c>
      <c r="L45" s="8">
        <f t="shared" si="3"/>
        <v>2400000</v>
      </c>
      <c r="M45" s="8">
        <f>INDEX(Master_Target!$B$2:$M$4, MATCH(J45, Master_Target!$A$2:$A$4, 0), MATCH(TEXT(B45, "[$-421]mmmm"), Master_Target!$B$1:$M$1, 0))</f>
        <v>20000000</v>
      </c>
    </row>
    <row r="46" spans="1:13" x14ac:dyDescent="0.25">
      <c r="A46" s="7" t="s">
        <v>55</v>
      </c>
      <c r="B46" s="11" t="s">
        <v>1024</v>
      </c>
      <c r="C46" s="7">
        <f t="shared" si="0"/>
        <v>1</v>
      </c>
      <c r="D46" s="7" t="str">
        <f t="shared" si="1"/>
        <v>Jan</v>
      </c>
      <c r="E46" s="7" t="s">
        <v>1355</v>
      </c>
      <c r="F46" s="7" t="str">
        <f t="shared" si="2"/>
        <v>Bambang H.</v>
      </c>
      <c r="G46" s="7" t="s">
        <v>1359</v>
      </c>
      <c r="H46" s="7" t="s">
        <v>1369</v>
      </c>
      <c r="I46" s="7">
        <v>1</v>
      </c>
      <c r="J46" s="7" t="str">
        <f>INDEX(Master_Produk!$C$2:$C$11,MATCH(H46,Master_Produk!$A$2:$A$11,0))</f>
        <v>Elektronik</v>
      </c>
      <c r="K46" s="8">
        <f>INDEX(Master_Produk!$E$2:$E$11,MATCH(Data_Transaksi!H46,Master_Produk!$A$2:$A$11,0))</f>
        <v>4500000</v>
      </c>
      <c r="L46" s="8">
        <f t="shared" si="3"/>
        <v>4500000</v>
      </c>
      <c r="M46" s="8">
        <f>INDEX(Master_Target!$B$2:$M$4, MATCH(J46, Master_Target!$A$2:$A$4, 0), MATCH(TEXT(B46, "[$-421]mmmm"), Master_Target!$B$1:$M$1, 0))</f>
        <v>50000000</v>
      </c>
    </row>
    <row r="47" spans="1:13" x14ac:dyDescent="0.25">
      <c r="A47" s="7" t="s">
        <v>56</v>
      </c>
      <c r="B47" s="11" t="s">
        <v>1024</v>
      </c>
      <c r="C47" s="7">
        <f t="shared" si="0"/>
        <v>1</v>
      </c>
      <c r="D47" s="7" t="str">
        <f t="shared" si="1"/>
        <v>Jan</v>
      </c>
      <c r="E47" s="7" t="s">
        <v>1352</v>
      </c>
      <c r="F47" s="7" t="str">
        <f t="shared" si="2"/>
        <v>Ahmad Fauzi</v>
      </c>
      <c r="G47" s="7" t="s">
        <v>1357</v>
      </c>
      <c r="H47" s="7" t="s">
        <v>1366</v>
      </c>
      <c r="I47" s="7">
        <v>4</v>
      </c>
      <c r="J47" s="7" t="str">
        <f>INDEX(Master_Produk!$C$2:$C$11,MATCH(H47,Master_Produk!$A$2:$A$11,0))</f>
        <v>Elektronik</v>
      </c>
      <c r="K47" s="8">
        <f>INDEX(Master_Produk!$E$2:$E$11,MATCH(Data_Transaksi!H47,Master_Produk!$A$2:$A$11,0))</f>
        <v>7500000</v>
      </c>
      <c r="L47" s="8">
        <f t="shared" si="3"/>
        <v>30000000</v>
      </c>
      <c r="M47" s="8">
        <f>INDEX(Master_Target!$B$2:$M$4, MATCH(J47, Master_Target!$A$2:$A$4, 0), MATCH(TEXT(B47, "[$-421]mmmm"), Master_Target!$B$1:$M$1, 0))</f>
        <v>50000000</v>
      </c>
    </row>
    <row r="48" spans="1:13" x14ac:dyDescent="0.25">
      <c r="A48" s="7" t="s">
        <v>57</v>
      </c>
      <c r="B48" s="11" t="s">
        <v>1024</v>
      </c>
      <c r="C48" s="7">
        <f t="shared" si="0"/>
        <v>1</v>
      </c>
      <c r="D48" s="7" t="str">
        <f t="shared" si="1"/>
        <v>Jan</v>
      </c>
      <c r="E48" s="7" t="s">
        <v>1347</v>
      </c>
      <c r="F48" s="7" t="str">
        <f t="shared" si="2"/>
        <v>Rina Marlina</v>
      </c>
      <c r="G48" s="7" t="s">
        <v>1357</v>
      </c>
      <c r="H48" s="7" t="s">
        <v>1363</v>
      </c>
      <c r="I48" s="7">
        <v>1</v>
      </c>
      <c r="J48" s="7" t="str">
        <f>INDEX(Master_Produk!$C$2:$C$11,MATCH(H48,Master_Produk!$A$2:$A$11,0))</f>
        <v>Pakaian</v>
      </c>
      <c r="K48" s="8">
        <f>INDEX(Master_Produk!$E$2:$E$11,MATCH(Data_Transaksi!H48,Master_Produk!$A$2:$A$11,0))</f>
        <v>250000</v>
      </c>
      <c r="L48" s="8">
        <f t="shared" si="3"/>
        <v>250000</v>
      </c>
      <c r="M48" s="8">
        <f>INDEX(Master_Target!$B$2:$M$4, MATCH(J48, Master_Target!$A$2:$A$4, 0), MATCH(TEXT(B48, "[$-421]mmmm"), Master_Target!$B$1:$M$1, 0))</f>
        <v>15000000</v>
      </c>
    </row>
    <row r="49" spans="1:13" x14ac:dyDescent="0.25">
      <c r="A49" s="7" t="s">
        <v>58</v>
      </c>
      <c r="B49" s="11" t="s">
        <v>1025</v>
      </c>
      <c r="C49" s="7">
        <f t="shared" si="0"/>
        <v>1</v>
      </c>
      <c r="D49" s="7" t="str">
        <f t="shared" si="1"/>
        <v>Jan</v>
      </c>
      <c r="E49" s="7" t="s">
        <v>1354</v>
      </c>
      <c r="F49" s="7" t="str">
        <f t="shared" si="2"/>
        <v>Mega Utami</v>
      </c>
      <c r="G49" s="7" t="s">
        <v>1358</v>
      </c>
      <c r="H49" s="7" t="s">
        <v>1365</v>
      </c>
      <c r="I49" s="7">
        <v>2</v>
      </c>
      <c r="J49" s="7" t="str">
        <f>INDEX(Master_Produk!$C$2:$C$11,MATCH(H49,Master_Produk!$A$2:$A$11,0))</f>
        <v>Elektronik</v>
      </c>
      <c r="K49" s="8">
        <f>INDEX(Master_Produk!$E$2:$E$11,MATCH(Data_Transaksi!H49,Master_Produk!$A$2:$A$11,0))</f>
        <v>1800000</v>
      </c>
      <c r="L49" s="8">
        <f t="shared" si="3"/>
        <v>3600000</v>
      </c>
      <c r="M49" s="8">
        <f>INDEX(Master_Target!$B$2:$M$4, MATCH(J49, Master_Target!$A$2:$A$4, 0), MATCH(TEXT(B49, "[$-421]mmmm"), Master_Target!$B$1:$M$1, 0))</f>
        <v>50000000</v>
      </c>
    </row>
    <row r="50" spans="1:13" x14ac:dyDescent="0.25">
      <c r="A50" s="7" t="s">
        <v>59</v>
      </c>
      <c r="B50" s="11" t="s">
        <v>1026</v>
      </c>
      <c r="C50" s="7">
        <f t="shared" si="0"/>
        <v>1</v>
      </c>
      <c r="D50" s="7" t="str">
        <f t="shared" si="1"/>
        <v>Jan</v>
      </c>
      <c r="E50" s="7" t="s">
        <v>1347</v>
      </c>
      <c r="F50" s="7" t="str">
        <f t="shared" si="2"/>
        <v>Rina Marlina</v>
      </c>
      <c r="G50" s="7" t="s">
        <v>1359</v>
      </c>
      <c r="H50" s="7" t="s">
        <v>1362</v>
      </c>
      <c r="I50" s="7">
        <v>4</v>
      </c>
      <c r="J50" s="7" t="str">
        <f>INDEX(Master_Produk!$C$2:$C$11,MATCH(H50,Master_Produk!$A$2:$A$11,0))</f>
        <v>Pakaian</v>
      </c>
      <c r="K50" s="8">
        <f>INDEX(Master_Produk!$E$2:$E$11,MATCH(Data_Transaksi!H50,Master_Produk!$A$2:$A$11,0))</f>
        <v>350000</v>
      </c>
      <c r="L50" s="8">
        <f t="shared" si="3"/>
        <v>1400000</v>
      </c>
      <c r="M50" s="8">
        <f>INDEX(Master_Target!$B$2:$M$4, MATCH(J50, Master_Target!$A$2:$A$4, 0), MATCH(TEXT(B50, "[$-421]mmmm"), Master_Target!$B$1:$M$1, 0))</f>
        <v>15000000</v>
      </c>
    </row>
    <row r="51" spans="1:13" x14ac:dyDescent="0.25">
      <c r="A51" s="7" t="s">
        <v>60</v>
      </c>
      <c r="B51" s="11" t="s">
        <v>1027</v>
      </c>
      <c r="C51" s="7">
        <f t="shared" si="0"/>
        <v>1</v>
      </c>
      <c r="D51" s="7" t="str">
        <f t="shared" si="1"/>
        <v>Jan</v>
      </c>
      <c r="E51" s="7" t="s">
        <v>1352</v>
      </c>
      <c r="F51" s="7" t="str">
        <f t="shared" si="2"/>
        <v>Ahmad Fauzi</v>
      </c>
      <c r="G51" s="7" t="s">
        <v>1361</v>
      </c>
      <c r="H51" s="7" t="s">
        <v>1365</v>
      </c>
      <c r="I51" s="7">
        <v>2</v>
      </c>
      <c r="J51" s="7" t="str">
        <f>INDEX(Master_Produk!$C$2:$C$11,MATCH(H51,Master_Produk!$A$2:$A$11,0))</f>
        <v>Elektronik</v>
      </c>
      <c r="K51" s="8">
        <f>INDEX(Master_Produk!$E$2:$E$11,MATCH(Data_Transaksi!H51,Master_Produk!$A$2:$A$11,0))</f>
        <v>1800000</v>
      </c>
      <c r="L51" s="8">
        <f t="shared" si="3"/>
        <v>3600000</v>
      </c>
      <c r="M51" s="8">
        <f>INDEX(Master_Target!$B$2:$M$4, MATCH(J51, Master_Target!$A$2:$A$4, 0), MATCH(TEXT(B51, "[$-421]mmmm"), Master_Target!$B$1:$M$1, 0))</f>
        <v>50000000</v>
      </c>
    </row>
    <row r="52" spans="1:13" x14ac:dyDescent="0.25">
      <c r="A52" s="7" t="s">
        <v>61</v>
      </c>
      <c r="B52" s="11" t="s">
        <v>1028</v>
      </c>
      <c r="C52" s="7">
        <f t="shared" si="0"/>
        <v>1</v>
      </c>
      <c r="D52" s="7" t="str">
        <f t="shared" si="1"/>
        <v>Jan</v>
      </c>
      <c r="E52" s="7" t="s">
        <v>1349</v>
      </c>
      <c r="F52" s="7" t="str">
        <f t="shared" si="2"/>
        <v>Dewi Lestari</v>
      </c>
      <c r="G52" s="7" t="s">
        <v>1357</v>
      </c>
      <c r="H52" s="7" t="s">
        <v>1364</v>
      </c>
      <c r="I52" s="7">
        <v>1</v>
      </c>
      <c r="J52" s="7" t="str">
        <f>INDEX(Master_Produk!$C$2:$C$11,MATCH(H52,Master_Produk!$A$2:$A$11,0))</f>
        <v>Furnitur</v>
      </c>
      <c r="K52" s="8">
        <f>INDEX(Master_Produk!$E$2:$E$11,MATCH(Data_Transaksi!H52,Master_Produk!$A$2:$A$11,0))</f>
        <v>950000</v>
      </c>
      <c r="L52" s="8">
        <f t="shared" si="3"/>
        <v>950000</v>
      </c>
      <c r="M52" s="8">
        <f>INDEX(Master_Target!$B$2:$M$4, MATCH(J52, Master_Target!$A$2:$A$4, 0), MATCH(TEXT(B52, "[$-421]mmmm"), Master_Target!$B$1:$M$1, 0))</f>
        <v>20000000</v>
      </c>
    </row>
    <row r="53" spans="1:13" x14ac:dyDescent="0.25">
      <c r="A53" s="7" t="s">
        <v>62</v>
      </c>
      <c r="B53" s="11" t="s">
        <v>1028</v>
      </c>
      <c r="C53" s="7">
        <f t="shared" si="0"/>
        <v>1</v>
      </c>
      <c r="D53" s="7" t="str">
        <f t="shared" si="1"/>
        <v>Jan</v>
      </c>
      <c r="E53" s="7" t="s">
        <v>1353</v>
      </c>
      <c r="F53" s="7" t="str">
        <f t="shared" si="2"/>
        <v>Sari Yuliana</v>
      </c>
      <c r="G53" s="7" t="s">
        <v>1358</v>
      </c>
      <c r="H53" s="7" t="s">
        <v>1370</v>
      </c>
      <c r="I53" s="7">
        <v>5</v>
      </c>
      <c r="J53" s="7" t="str">
        <f>INDEX(Master_Produk!$C$2:$C$11,MATCH(H53,Master_Produk!$A$2:$A$11,0))</f>
        <v>Furnitur</v>
      </c>
      <c r="K53" s="8">
        <f>INDEX(Master_Produk!$E$2:$E$11,MATCH(Data_Transaksi!H53,Master_Produk!$A$2:$A$11,0))</f>
        <v>1200000</v>
      </c>
      <c r="L53" s="8">
        <f t="shared" si="3"/>
        <v>6000000</v>
      </c>
      <c r="M53" s="8">
        <f>INDEX(Master_Target!$B$2:$M$4, MATCH(J53, Master_Target!$A$2:$A$4, 0), MATCH(TEXT(B53, "[$-421]mmmm"), Master_Target!$B$1:$M$1, 0))</f>
        <v>20000000</v>
      </c>
    </row>
    <row r="54" spans="1:13" x14ac:dyDescent="0.25">
      <c r="A54" s="7" t="s">
        <v>63</v>
      </c>
      <c r="B54" s="11" t="s">
        <v>1029</v>
      </c>
      <c r="C54" s="7">
        <f t="shared" si="0"/>
        <v>1</v>
      </c>
      <c r="D54" s="7" t="str">
        <f t="shared" si="1"/>
        <v>Jan</v>
      </c>
      <c r="E54" s="7" t="s">
        <v>1356</v>
      </c>
      <c r="F54" s="7" t="str">
        <f t="shared" si="2"/>
        <v>Eko Prasetyo</v>
      </c>
      <c r="G54" s="7" t="s">
        <v>1359</v>
      </c>
      <c r="H54" s="7" t="s">
        <v>1371</v>
      </c>
      <c r="I54" s="7">
        <v>2</v>
      </c>
      <c r="J54" s="7" t="str">
        <f>INDEX(Master_Produk!$C$2:$C$11,MATCH(H54,Master_Produk!$A$2:$A$11,0))</f>
        <v>Pakaian</v>
      </c>
      <c r="K54" s="8">
        <f>INDEX(Master_Produk!$E$2:$E$11,MATCH(Data_Transaksi!H54,Master_Produk!$A$2:$A$11,0))</f>
        <v>280000</v>
      </c>
      <c r="L54" s="8">
        <f t="shared" si="3"/>
        <v>560000</v>
      </c>
      <c r="M54" s="8">
        <f>INDEX(Master_Target!$B$2:$M$4, MATCH(J54, Master_Target!$A$2:$A$4, 0), MATCH(TEXT(B54, "[$-421]mmmm"), Master_Target!$B$1:$M$1, 0))</f>
        <v>15000000</v>
      </c>
    </row>
    <row r="55" spans="1:13" x14ac:dyDescent="0.25">
      <c r="A55" s="7" t="s">
        <v>64</v>
      </c>
      <c r="B55" s="11" t="s">
        <v>1029</v>
      </c>
      <c r="C55" s="7">
        <f t="shared" si="0"/>
        <v>1</v>
      </c>
      <c r="D55" s="7" t="str">
        <f t="shared" si="1"/>
        <v>Jan</v>
      </c>
      <c r="E55" s="7" t="s">
        <v>1353</v>
      </c>
      <c r="F55" s="7" t="str">
        <f t="shared" si="2"/>
        <v>Sari Yuliana</v>
      </c>
      <c r="G55" s="7" t="s">
        <v>1357</v>
      </c>
      <c r="H55" s="7" t="s">
        <v>1362</v>
      </c>
      <c r="I55" s="7">
        <v>1</v>
      </c>
      <c r="J55" s="7" t="str">
        <f>INDEX(Master_Produk!$C$2:$C$11,MATCH(H55,Master_Produk!$A$2:$A$11,0))</f>
        <v>Pakaian</v>
      </c>
      <c r="K55" s="8">
        <f>INDEX(Master_Produk!$E$2:$E$11,MATCH(Data_Transaksi!H55,Master_Produk!$A$2:$A$11,0))</f>
        <v>350000</v>
      </c>
      <c r="L55" s="8">
        <f t="shared" si="3"/>
        <v>350000</v>
      </c>
      <c r="M55" s="8">
        <f>INDEX(Master_Target!$B$2:$M$4, MATCH(J55, Master_Target!$A$2:$A$4, 0), MATCH(TEXT(B55, "[$-421]mmmm"), Master_Target!$B$1:$M$1, 0))</f>
        <v>15000000</v>
      </c>
    </row>
    <row r="56" spans="1:13" x14ac:dyDescent="0.25">
      <c r="A56" s="7" t="s">
        <v>65</v>
      </c>
      <c r="B56" s="11" t="s">
        <v>1029</v>
      </c>
      <c r="C56" s="7">
        <f t="shared" si="0"/>
        <v>1</v>
      </c>
      <c r="D56" s="7" t="str">
        <f t="shared" si="1"/>
        <v>Jan</v>
      </c>
      <c r="E56" s="7" t="s">
        <v>1350</v>
      </c>
      <c r="F56" s="7" t="str">
        <f t="shared" si="2"/>
        <v>Andi Wijaya</v>
      </c>
      <c r="G56" s="7" t="s">
        <v>1359</v>
      </c>
      <c r="H56" s="7" t="s">
        <v>1371</v>
      </c>
      <c r="I56" s="7">
        <v>1</v>
      </c>
      <c r="J56" s="7" t="str">
        <f>INDEX(Master_Produk!$C$2:$C$11,MATCH(H56,Master_Produk!$A$2:$A$11,0))</f>
        <v>Pakaian</v>
      </c>
      <c r="K56" s="8">
        <f>INDEX(Master_Produk!$E$2:$E$11,MATCH(Data_Transaksi!H56,Master_Produk!$A$2:$A$11,0))</f>
        <v>280000</v>
      </c>
      <c r="L56" s="8">
        <f t="shared" si="3"/>
        <v>280000</v>
      </c>
      <c r="M56" s="8">
        <f>INDEX(Master_Target!$B$2:$M$4, MATCH(J56, Master_Target!$A$2:$A$4, 0), MATCH(TEXT(B56, "[$-421]mmmm"), Master_Target!$B$1:$M$1, 0))</f>
        <v>15000000</v>
      </c>
    </row>
    <row r="57" spans="1:13" x14ac:dyDescent="0.25">
      <c r="A57" s="7" t="s">
        <v>66</v>
      </c>
      <c r="B57" s="11" t="s">
        <v>1030</v>
      </c>
      <c r="C57" s="7">
        <f t="shared" si="0"/>
        <v>1</v>
      </c>
      <c r="D57" s="7" t="str">
        <f t="shared" si="1"/>
        <v>Jan</v>
      </c>
      <c r="E57" s="7" t="s">
        <v>1347</v>
      </c>
      <c r="F57" s="7" t="str">
        <f t="shared" si="2"/>
        <v>Rina Marlina</v>
      </c>
      <c r="G57" s="7" t="s">
        <v>1358</v>
      </c>
      <c r="H57" s="7" t="s">
        <v>1364</v>
      </c>
      <c r="I57" s="7">
        <v>3</v>
      </c>
      <c r="J57" s="7" t="str">
        <f>INDEX(Master_Produk!$C$2:$C$11,MATCH(H57,Master_Produk!$A$2:$A$11,0))</f>
        <v>Furnitur</v>
      </c>
      <c r="K57" s="8">
        <f>INDEX(Master_Produk!$E$2:$E$11,MATCH(Data_Transaksi!H57,Master_Produk!$A$2:$A$11,0))</f>
        <v>950000</v>
      </c>
      <c r="L57" s="8">
        <f t="shared" si="3"/>
        <v>2850000</v>
      </c>
      <c r="M57" s="8">
        <f>INDEX(Master_Target!$B$2:$M$4, MATCH(J57, Master_Target!$A$2:$A$4, 0), MATCH(TEXT(B57, "[$-421]mmmm"), Master_Target!$B$1:$M$1, 0))</f>
        <v>20000000</v>
      </c>
    </row>
    <row r="58" spans="1:13" x14ac:dyDescent="0.25">
      <c r="A58" s="7" t="s">
        <v>67</v>
      </c>
      <c r="B58" s="11" t="s">
        <v>1030</v>
      </c>
      <c r="C58" s="7">
        <f t="shared" si="0"/>
        <v>1</v>
      </c>
      <c r="D58" s="7" t="str">
        <f t="shared" si="1"/>
        <v>Jan</v>
      </c>
      <c r="E58" s="7" t="s">
        <v>1348</v>
      </c>
      <c r="F58" s="7" t="str">
        <f t="shared" si="2"/>
        <v>Budi Santoso</v>
      </c>
      <c r="G58" s="7" t="s">
        <v>1361</v>
      </c>
      <c r="H58" s="7" t="s">
        <v>1370</v>
      </c>
      <c r="I58" s="7">
        <v>2</v>
      </c>
      <c r="J58" s="7" t="str">
        <f>INDEX(Master_Produk!$C$2:$C$11,MATCH(H58,Master_Produk!$A$2:$A$11,0))</f>
        <v>Furnitur</v>
      </c>
      <c r="K58" s="8">
        <f>INDEX(Master_Produk!$E$2:$E$11,MATCH(Data_Transaksi!H58,Master_Produk!$A$2:$A$11,0))</f>
        <v>1200000</v>
      </c>
      <c r="L58" s="8">
        <f t="shared" si="3"/>
        <v>2400000</v>
      </c>
      <c r="M58" s="8">
        <f>INDEX(Master_Target!$B$2:$M$4, MATCH(J58, Master_Target!$A$2:$A$4, 0), MATCH(TEXT(B58, "[$-421]mmmm"), Master_Target!$B$1:$M$1, 0))</f>
        <v>20000000</v>
      </c>
    </row>
    <row r="59" spans="1:13" x14ac:dyDescent="0.25">
      <c r="A59" s="7" t="s">
        <v>68</v>
      </c>
      <c r="B59" s="11" t="s">
        <v>1031</v>
      </c>
      <c r="C59" s="7">
        <f t="shared" si="0"/>
        <v>1</v>
      </c>
      <c r="D59" s="7" t="str">
        <f t="shared" si="1"/>
        <v>Jan</v>
      </c>
      <c r="E59" s="7" t="s">
        <v>1350</v>
      </c>
      <c r="F59" s="7" t="str">
        <f t="shared" si="2"/>
        <v>Andi Wijaya</v>
      </c>
      <c r="G59" s="7" t="s">
        <v>1358</v>
      </c>
      <c r="H59" s="7" t="s">
        <v>1367</v>
      </c>
      <c r="I59" s="7">
        <v>2</v>
      </c>
      <c r="J59" s="7" t="str">
        <f>INDEX(Master_Produk!$C$2:$C$11,MATCH(H59,Master_Produk!$A$2:$A$11,0))</f>
        <v>Elektronik</v>
      </c>
      <c r="K59" s="8">
        <f>INDEX(Master_Produk!$E$2:$E$11,MATCH(Data_Transaksi!H59,Master_Produk!$A$2:$A$11,0))</f>
        <v>250000</v>
      </c>
      <c r="L59" s="8">
        <f t="shared" si="3"/>
        <v>500000</v>
      </c>
      <c r="M59" s="8">
        <f>INDEX(Master_Target!$B$2:$M$4, MATCH(J59, Master_Target!$A$2:$A$4, 0), MATCH(TEXT(B59, "[$-421]mmmm"), Master_Target!$B$1:$M$1, 0))</f>
        <v>50000000</v>
      </c>
    </row>
    <row r="60" spans="1:13" x14ac:dyDescent="0.25">
      <c r="A60" s="7" t="s">
        <v>69</v>
      </c>
      <c r="B60" s="11" t="s">
        <v>1031</v>
      </c>
      <c r="C60" s="7">
        <f t="shared" si="0"/>
        <v>1</v>
      </c>
      <c r="D60" s="7" t="str">
        <f t="shared" si="1"/>
        <v>Jan</v>
      </c>
      <c r="E60" s="7" t="s">
        <v>1349</v>
      </c>
      <c r="F60" s="7" t="str">
        <f t="shared" si="2"/>
        <v>Dewi Lestari</v>
      </c>
      <c r="G60" s="7" t="s">
        <v>1361</v>
      </c>
      <c r="H60" s="7" t="s">
        <v>1368</v>
      </c>
      <c r="I60" s="7">
        <v>4</v>
      </c>
      <c r="J60" s="7" t="str">
        <f>INDEX(Master_Produk!$C$2:$C$11,MATCH(H60,Master_Produk!$A$2:$A$11,0))</f>
        <v>Furnitur</v>
      </c>
      <c r="K60" s="8">
        <f>INDEX(Master_Produk!$E$2:$E$11,MATCH(Data_Transaksi!H60,Master_Produk!$A$2:$A$11,0))</f>
        <v>650000</v>
      </c>
      <c r="L60" s="8">
        <f t="shared" si="3"/>
        <v>2600000</v>
      </c>
      <c r="M60" s="8">
        <f>INDEX(Master_Target!$B$2:$M$4, MATCH(J60, Master_Target!$A$2:$A$4, 0), MATCH(TEXT(B60, "[$-421]mmmm"), Master_Target!$B$1:$M$1, 0))</f>
        <v>20000000</v>
      </c>
    </row>
    <row r="61" spans="1:13" x14ac:dyDescent="0.25">
      <c r="A61" s="7" t="s">
        <v>70</v>
      </c>
      <c r="B61" s="11" t="s">
        <v>1031</v>
      </c>
      <c r="C61" s="7">
        <f t="shared" si="0"/>
        <v>1</v>
      </c>
      <c r="D61" s="7" t="str">
        <f t="shared" si="1"/>
        <v>Jan</v>
      </c>
      <c r="E61" s="7" t="s">
        <v>1347</v>
      </c>
      <c r="F61" s="7" t="str">
        <f t="shared" si="2"/>
        <v>Rina Marlina</v>
      </c>
      <c r="G61" s="7" t="s">
        <v>1360</v>
      </c>
      <c r="H61" s="7" t="s">
        <v>1367</v>
      </c>
      <c r="I61" s="7">
        <v>3</v>
      </c>
      <c r="J61" s="7" t="str">
        <f>INDEX(Master_Produk!$C$2:$C$11,MATCH(H61,Master_Produk!$A$2:$A$11,0))</f>
        <v>Elektronik</v>
      </c>
      <c r="K61" s="8">
        <f>INDEX(Master_Produk!$E$2:$E$11,MATCH(Data_Transaksi!H61,Master_Produk!$A$2:$A$11,0))</f>
        <v>250000</v>
      </c>
      <c r="L61" s="8">
        <f t="shared" si="3"/>
        <v>750000</v>
      </c>
      <c r="M61" s="8">
        <f>INDEX(Master_Target!$B$2:$M$4, MATCH(J61, Master_Target!$A$2:$A$4, 0), MATCH(TEXT(B61, "[$-421]mmmm"), Master_Target!$B$1:$M$1, 0))</f>
        <v>50000000</v>
      </c>
    </row>
    <row r="62" spans="1:13" x14ac:dyDescent="0.25">
      <c r="A62" s="7" t="s">
        <v>71</v>
      </c>
      <c r="B62" s="11" t="s">
        <v>1032</v>
      </c>
      <c r="C62" s="7">
        <f t="shared" si="0"/>
        <v>1</v>
      </c>
      <c r="D62" s="7" t="str">
        <f t="shared" si="1"/>
        <v>Jan</v>
      </c>
      <c r="E62" s="7" t="s">
        <v>1350</v>
      </c>
      <c r="F62" s="7" t="str">
        <f t="shared" si="2"/>
        <v>Andi Wijaya</v>
      </c>
      <c r="G62" s="7" t="s">
        <v>1357</v>
      </c>
      <c r="H62" s="7" t="s">
        <v>1367</v>
      </c>
      <c r="I62" s="7">
        <v>1</v>
      </c>
      <c r="J62" s="7" t="str">
        <f>INDEX(Master_Produk!$C$2:$C$11,MATCH(H62,Master_Produk!$A$2:$A$11,0))</f>
        <v>Elektronik</v>
      </c>
      <c r="K62" s="8">
        <f>INDEX(Master_Produk!$E$2:$E$11,MATCH(Data_Transaksi!H62,Master_Produk!$A$2:$A$11,0))</f>
        <v>250000</v>
      </c>
      <c r="L62" s="8">
        <f t="shared" si="3"/>
        <v>250000</v>
      </c>
      <c r="M62" s="8">
        <f>INDEX(Master_Target!$B$2:$M$4, MATCH(J62, Master_Target!$A$2:$A$4, 0), MATCH(TEXT(B62, "[$-421]mmmm"), Master_Target!$B$1:$M$1, 0))</f>
        <v>50000000</v>
      </c>
    </row>
    <row r="63" spans="1:13" x14ac:dyDescent="0.25">
      <c r="A63" s="7" t="s">
        <v>72</v>
      </c>
      <c r="B63" s="11" t="s">
        <v>1032</v>
      </c>
      <c r="C63" s="7">
        <f t="shared" si="0"/>
        <v>1</v>
      </c>
      <c r="D63" s="7" t="str">
        <f t="shared" si="1"/>
        <v>Jan</v>
      </c>
      <c r="E63" s="7" t="s">
        <v>1347</v>
      </c>
      <c r="F63" s="7" t="str">
        <f t="shared" si="2"/>
        <v>Rina Marlina</v>
      </c>
      <c r="G63" s="7" t="s">
        <v>1360</v>
      </c>
      <c r="H63" s="7" t="s">
        <v>1363</v>
      </c>
      <c r="I63" s="7">
        <v>1</v>
      </c>
      <c r="J63" s="7" t="str">
        <f>INDEX(Master_Produk!$C$2:$C$11,MATCH(H63,Master_Produk!$A$2:$A$11,0))</f>
        <v>Pakaian</v>
      </c>
      <c r="K63" s="8">
        <f>INDEX(Master_Produk!$E$2:$E$11,MATCH(Data_Transaksi!H63,Master_Produk!$A$2:$A$11,0))</f>
        <v>250000</v>
      </c>
      <c r="L63" s="8">
        <f t="shared" si="3"/>
        <v>250000</v>
      </c>
      <c r="M63" s="8">
        <f>INDEX(Master_Target!$B$2:$M$4, MATCH(J63, Master_Target!$A$2:$A$4, 0), MATCH(TEXT(B63, "[$-421]mmmm"), Master_Target!$B$1:$M$1, 0))</f>
        <v>15000000</v>
      </c>
    </row>
    <row r="64" spans="1:13" x14ac:dyDescent="0.25">
      <c r="A64" s="7" t="s">
        <v>73</v>
      </c>
      <c r="B64" s="11" t="s">
        <v>1033</v>
      </c>
      <c r="C64" s="7">
        <f t="shared" si="0"/>
        <v>1</v>
      </c>
      <c r="D64" s="7" t="str">
        <f t="shared" si="1"/>
        <v>Jan</v>
      </c>
      <c r="E64" s="7" t="s">
        <v>1354</v>
      </c>
      <c r="F64" s="7" t="str">
        <f t="shared" si="2"/>
        <v>Mega Utami</v>
      </c>
      <c r="G64" s="7" t="s">
        <v>1361</v>
      </c>
      <c r="H64" s="7" t="s">
        <v>1367</v>
      </c>
      <c r="I64" s="7">
        <v>1</v>
      </c>
      <c r="J64" s="7" t="str">
        <f>INDEX(Master_Produk!$C$2:$C$11,MATCH(H64,Master_Produk!$A$2:$A$11,0))</f>
        <v>Elektronik</v>
      </c>
      <c r="K64" s="8">
        <f>INDEX(Master_Produk!$E$2:$E$11,MATCH(Data_Transaksi!H64,Master_Produk!$A$2:$A$11,0))</f>
        <v>250000</v>
      </c>
      <c r="L64" s="8">
        <f t="shared" si="3"/>
        <v>250000</v>
      </c>
      <c r="M64" s="8">
        <f>INDEX(Master_Target!$B$2:$M$4, MATCH(J64, Master_Target!$A$2:$A$4, 0), MATCH(TEXT(B64, "[$-421]mmmm"), Master_Target!$B$1:$M$1, 0))</f>
        <v>50000000</v>
      </c>
    </row>
    <row r="65" spans="1:13" x14ac:dyDescent="0.25">
      <c r="A65" s="7" t="s">
        <v>74</v>
      </c>
      <c r="B65" s="11" t="s">
        <v>1033</v>
      </c>
      <c r="C65" s="7">
        <f t="shared" si="0"/>
        <v>1</v>
      </c>
      <c r="D65" s="7" t="str">
        <f t="shared" si="1"/>
        <v>Jan</v>
      </c>
      <c r="E65" s="7" t="s">
        <v>1349</v>
      </c>
      <c r="F65" s="7" t="str">
        <f t="shared" si="2"/>
        <v>Dewi Lestari</v>
      </c>
      <c r="G65" s="7" t="s">
        <v>1359</v>
      </c>
      <c r="H65" s="7" t="s">
        <v>1366</v>
      </c>
      <c r="I65" s="7">
        <v>3</v>
      </c>
      <c r="J65" s="7" t="str">
        <f>INDEX(Master_Produk!$C$2:$C$11,MATCH(H65,Master_Produk!$A$2:$A$11,0))</f>
        <v>Elektronik</v>
      </c>
      <c r="K65" s="8">
        <f>INDEX(Master_Produk!$E$2:$E$11,MATCH(Data_Transaksi!H65,Master_Produk!$A$2:$A$11,0))</f>
        <v>7500000</v>
      </c>
      <c r="L65" s="8">
        <f t="shared" si="3"/>
        <v>22500000</v>
      </c>
      <c r="M65" s="8">
        <f>INDEX(Master_Target!$B$2:$M$4, MATCH(J65, Master_Target!$A$2:$A$4, 0), MATCH(TEXT(B65, "[$-421]mmmm"), Master_Target!$B$1:$M$1, 0))</f>
        <v>50000000</v>
      </c>
    </row>
    <row r="66" spans="1:13" x14ac:dyDescent="0.25">
      <c r="A66" s="7" t="s">
        <v>75</v>
      </c>
      <c r="B66" s="11" t="s">
        <v>1033</v>
      </c>
      <c r="C66" s="7">
        <f t="shared" si="0"/>
        <v>1</v>
      </c>
      <c r="D66" s="7" t="str">
        <f t="shared" si="1"/>
        <v>Jan</v>
      </c>
      <c r="E66" s="7" t="s">
        <v>1355</v>
      </c>
      <c r="F66" s="7" t="str">
        <f t="shared" si="2"/>
        <v>Bambang H.</v>
      </c>
      <c r="G66" s="7" t="s">
        <v>1361</v>
      </c>
      <c r="H66" s="7" t="s">
        <v>1369</v>
      </c>
      <c r="I66" s="7">
        <v>1</v>
      </c>
      <c r="J66" s="7" t="str">
        <f>INDEX(Master_Produk!$C$2:$C$11,MATCH(H66,Master_Produk!$A$2:$A$11,0))</f>
        <v>Elektronik</v>
      </c>
      <c r="K66" s="8">
        <f>INDEX(Master_Produk!$E$2:$E$11,MATCH(Data_Transaksi!H66,Master_Produk!$A$2:$A$11,0))</f>
        <v>4500000</v>
      </c>
      <c r="L66" s="8">
        <f t="shared" si="3"/>
        <v>4500000</v>
      </c>
      <c r="M66" s="8">
        <f>INDEX(Master_Target!$B$2:$M$4, MATCH(J66, Master_Target!$A$2:$A$4, 0), MATCH(TEXT(B66, "[$-421]mmmm"), Master_Target!$B$1:$M$1, 0))</f>
        <v>50000000</v>
      </c>
    </row>
    <row r="67" spans="1:13" x14ac:dyDescent="0.25">
      <c r="A67" s="7" t="s">
        <v>76</v>
      </c>
      <c r="B67" s="11" t="s">
        <v>1034</v>
      </c>
      <c r="C67" s="7">
        <f t="shared" ref="C67:C130" si="4">MONTH(B67)</f>
        <v>1</v>
      </c>
      <c r="D67" s="7" t="str">
        <f t="shared" ref="D67:D130" si="5">TEXT(B67,"mmm")</f>
        <v>Jan</v>
      </c>
      <c r="E67" s="7" t="s">
        <v>1356</v>
      </c>
      <c r="F67" s="7" t="str">
        <f t="shared" ref="F67:F130" si="6">TRIM(PROPER(E67))</f>
        <v>Eko Prasetyo</v>
      </c>
      <c r="G67" s="7" t="s">
        <v>1361</v>
      </c>
      <c r="H67" s="7" t="s">
        <v>1365</v>
      </c>
      <c r="I67" s="7">
        <v>2</v>
      </c>
      <c r="J67" s="7" t="str">
        <f>INDEX(Master_Produk!$C$2:$C$11,MATCH(H67,Master_Produk!$A$2:$A$11,0))</f>
        <v>Elektronik</v>
      </c>
      <c r="K67" s="8">
        <f>INDEX(Master_Produk!$E$2:$E$11,MATCH(Data_Transaksi!H67,Master_Produk!$A$2:$A$11,0))</f>
        <v>1800000</v>
      </c>
      <c r="L67" s="8">
        <f t="shared" ref="L67:L130" si="7">I67*K67</f>
        <v>3600000</v>
      </c>
      <c r="M67" s="8">
        <f>INDEX(Master_Target!$B$2:$M$4, MATCH(J67, Master_Target!$A$2:$A$4, 0), MATCH(TEXT(B67, "[$-421]mmmm"), Master_Target!$B$1:$M$1, 0))</f>
        <v>50000000</v>
      </c>
    </row>
    <row r="68" spans="1:13" x14ac:dyDescent="0.25">
      <c r="A68" s="7" t="s">
        <v>77</v>
      </c>
      <c r="B68" s="11" t="s">
        <v>1034</v>
      </c>
      <c r="C68" s="7">
        <f t="shared" si="4"/>
        <v>1</v>
      </c>
      <c r="D68" s="7" t="str">
        <f t="shared" si="5"/>
        <v>Jan</v>
      </c>
      <c r="E68" s="7" t="s">
        <v>1351</v>
      </c>
      <c r="F68" s="7" t="str">
        <f t="shared" si="6"/>
        <v>Siti Rahma</v>
      </c>
      <c r="G68" s="7" t="s">
        <v>1359</v>
      </c>
      <c r="H68" s="7" t="s">
        <v>1368</v>
      </c>
      <c r="I68" s="7">
        <v>3</v>
      </c>
      <c r="J68" s="7" t="str">
        <f>INDEX(Master_Produk!$C$2:$C$11,MATCH(H68,Master_Produk!$A$2:$A$11,0))</f>
        <v>Furnitur</v>
      </c>
      <c r="K68" s="8">
        <f>INDEX(Master_Produk!$E$2:$E$11,MATCH(Data_Transaksi!H68,Master_Produk!$A$2:$A$11,0))</f>
        <v>650000</v>
      </c>
      <c r="L68" s="8">
        <f t="shared" si="7"/>
        <v>1950000</v>
      </c>
      <c r="M68" s="8">
        <f>INDEX(Master_Target!$B$2:$M$4, MATCH(J68, Master_Target!$A$2:$A$4, 0), MATCH(TEXT(B68, "[$-421]mmmm"), Master_Target!$B$1:$M$1, 0))</f>
        <v>20000000</v>
      </c>
    </row>
    <row r="69" spans="1:13" x14ac:dyDescent="0.25">
      <c r="A69" s="7" t="s">
        <v>78</v>
      </c>
      <c r="B69" s="11" t="s">
        <v>1034</v>
      </c>
      <c r="C69" s="7">
        <f t="shared" si="4"/>
        <v>1</v>
      </c>
      <c r="D69" s="7" t="str">
        <f t="shared" si="5"/>
        <v>Jan</v>
      </c>
      <c r="E69" s="7" t="s">
        <v>1356</v>
      </c>
      <c r="F69" s="7" t="str">
        <f t="shared" si="6"/>
        <v>Eko Prasetyo</v>
      </c>
      <c r="G69" s="7" t="s">
        <v>1360</v>
      </c>
      <c r="H69" s="7" t="s">
        <v>1367</v>
      </c>
      <c r="I69" s="7">
        <v>4</v>
      </c>
      <c r="J69" s="7" t="str">
        <f>INDEX(Master_Produk!$C$2:$C$11,MATCH(H69,Master_Produk!$A$2:$A$11,0))</f>
        <v>Elektronik</v>
      </c>
      <c r="K69" s="8">
        <f>INDEX(Master_Produk!$E$2:$E$11,MATCH(Data_Transaksi!H69,Master_Produk!$A$2:$A$11,0))</f>
        <v>250000</v>
      </c>
      <c r="L69" s="8">
        <f t="shared" si="7"/>
        <v>1000000</v>
      </c>
      <c r="M69" s="8">
        <f>INDEX(Master_Target!$B$2:$M$4, MATCH(J69, Master_Target!$A$2:$A$4, 0), MATCH(TEXT(B69, "[$-421]mmmm"), Master_Target!$B$1:$M$1, 0))</f>
        <v>50000000</v>
      </c>
    </row>
    <row r="70" spans="1:13" x14ac:dyDescent="0.25">
      <c r="A70" s="7" t="s">
        <v>79</v>
      </c>
      <c r="B70" s="11" t="s">
        <v>1035</v>
      </c>
      <c r="C70" s="7">
        <f t="shared" si="4"/>
        <v>1</v>
      </c>
      <c r="D70" s="7" t="str">
        <f t="shared" si="5"/>
        <v>Jan</v>
      </c>
      <c r="E70" s="7" t="s">
        <v>1356</v>
      </c>
      <c r="F70" s="7" t="str">
        <f t="shared" si="6"/>
        <v>Eko Prasetyo</v>
      </c>
      <c r="G70" s="7" t="s">
        <v>1357</v>
      </c>
      <c r="H70" s="7" t="s">
        <v>1364</v>
      </c>
      <c r="I70" s="7">
        <v>1</v>
      </c>
      <c r="J70" s="7" t="str">
        <f>INDEX(Master_Produk!$C$2:$C$11,MATCH(H70,Master_Produk!$A$2:$A$11,0))</f>
        <v>Furnitur</v>
      </c>
      <c r="K70" s="8">
        <f>INDEX(Master_Produk!$E$2:$E$11,MATCH(Data_Transaksi!H70,Master_Produk!$A$2:$A$11,0))</f>
        <v>950000</v>
      </c>
      <c r="L70" s="8">
        <f t="shared" si="7"/>
        <v>950000</v>
      </c>
      <c r="M70" s="8">
        <f>INDEX(Master_Target!$B$2:$M$4, MATCH(J70, Master_Target!$A$2:$A$4, 0), MATCH(TEXT(B70, "[$-421]mmmm"), Master_Target!$B$1:$M$1, 0))</f>
        <v>20000000</v>
      </c>
    </row>
    <row r="71" spans="1:13" x14ac:dyDescent="0.25">
      <c r="A71" s="7" t="s">
        <v>80</v>
      </c>
      <c r="B71" s="11" t="s">
        <v>1036</v>
      </c>
      <c r="C71" s="7">
        <f t="shared" si="4"/>
        <v>1</v>
      </c>
      <c r="D71" s="7" t="str">
        <f t="shared" si="5"/>
        <v>Jan</v>
      </c>
      <c r="E71" s="7" t="s">
        <v>1350</v>
      </c>
      <c r="F71" s="7" t="str">
        <f t="shared" si="6"/>
        <v>Andi Wijaya</v>
      </c>
      <c r="G71" s="7" t="s">
        <v>1361</v>
      </c>
      <c r="H71" s="7" t="s">
        <v>1364</v>
      </c>
      <c r="I71" s="7">
        <v>3</v>
      </c>
      <c r="J71" s="7" t="str">
        <f>INDEX(Master_Produk!$C$2:$C$11,MATCH(H71,Master_Produk!$A$2:$A$11,0))</f>
        <v>Furnitur</v>
      </c>
      <c r="K71" s="8">
        <f>INDEX(Master_Produk!$E$2:$E$11,MATCH(Data_Transaksi!H71,Master_Produk!$A$2:$A$11,0))</f>
        <v>950000</v>
      </c>
      <c r="L71" s="8">
        <f t="shared" si="7"/>
        <v>2850000</v>
      </c>
      <c r="M71" s="8">
        <f>INDEX(Master_Target!$B$2:$M$4, MATCH(J71, Master_Target!$A$2:$A$4, 0), MATCH(TEXT(B71, "[$-421]mmmm"), Master_Target!$B$1:$M$1, 0))</f>
        <v>20000000</v>
      </c>
    </row>
    <row r="72" spans="1:13" x14ac:dyDescent="0.25">
      <c r="A72" s="7" t="s">
        <v>81</v>
      </c>
      <c r="B72" s="11" t="s">
        <v>1036</v>
      </c>
      <c r="C72" s="7">
        <f t="shared" si="4"/>
        <v>1</v>
      </c>
      <c r="D72" s="7" t="str">
        <f t="shared" si="5"/>
        <v>Jan</v>
      </c>
      <c r="E72" s="7" t="s">
        <v>1349</v>
      </c>
      <c r="F72" s="7" t="str">
        <f t="shared" si="6"/>
        <v>Dewi Lestari</v>
      </c>
      <c r="G72" s="7" t="s">
        <v>1361</v>
      </c>
      <c r="H72" s="7" t="s">
        <v>1362</v>
      </c>
      <c r="I72" s="7">
        <v>1</v>
      </c>
      <c r="J72" s="7" t="str">
        <f>INDEX(Master_Produk!$C$2:$C$11,MATCH(H72,Master_Produk!$A$2:$A$11,0))</f>
        <v>Pakaian</v>
      </c>
      <c r="K72" s="8">
        <f>INDEX(Master_Produk!$E$2:$E$11,MATCH(Data_Transaksi!H72,Master_Produk!$A$2:$A$11,0))</f>
        <v>350000</v>
      </c>
      <c r="L72" s="8">
        <f t="shared" si="7"/>
        <v>350000</v>
      </c>
      <c r="M72" s="8">
        <f>INDEX(Master_Target!$B$2:$M$4, MATCH(J72, Master_Target!$A$2:$A$4, 0), MATCH(TEXT(B72, "[$-421]mmmm"), Master_Target!$B$1:$M$1, 0))</f>
        <v>15000000</v>
      </c>
    </row>
    <row r="73" spans="1:13" x14ac:dyDescent="0.25">
      <c r="A73" s="7" t="s">
        <v>82</v>
      </c>
      <c r="B73" s="11" t="s">
        <v>1036</v>
      </c>
      <c r="C73" s="7">
        <f t="shared" si="4"/>
        <v>1</v>
      </c>
      <c r="D73" s="7" t="str">
        <f t="shared" si="5"/>
        <v>Jan</v>
      </c>
      <c r="E73" s="7" t="s">
        <v>1347</v>
      </c>
      <c r="F73" s="7" t="str">
        <f t="shared" si="6"/>
        <v>Rina Marlina</v>
      </c>
      <c r="G73" s="7" t="s">
        <v>1357</v>
      </c>
      <c r="H73" s="7" t="s">
        <v>1371</v>
      </c>
      <c r="I73" s="7">
        <v>3</v>
      </c>
      <c r="J73" s="7" t="str">
        <f>INDEX(Master_Produk!$C$2:$C$11,MATCH(H73,Master_Produk!$A$2:$A$11,0))</f>
        <v>Pakaian</v>
      </c>
      <c r="K73" s="8">
        <f>INDEX(Master_Produk!$E$2:$E$11,MATCH(Data_Transaksi!H73,Master_Produk!$A$2:$A$11,0))</f>
        <v>280000</v>
      </c>
      <c r="L73" s="8">
        <f t="shared" si="7"/>
        <v>840000</v>
      </c>
      <c r="M73" s="8">
        <f>INDEX(Master_Target!$B$2:$M$4, MATCH(J73, Master_Target!$A$2:$A$4, 0), MATCH(TEXT(B73, "[$-421]mmmm"), Master_Target!$B$1:$M$1, 0))</f>
        <v>15000000</v>
      </c>
    </row>
    <row r="74" spans="1:13" x14ac:dyDescent="0.25">
      <c r="A74" s="7" t="s">
        <v>83</v>
      </c>
      <c r="B74" s="11" t="s">
        <v>1036</v>
      </c>
      <c r="C74" s="7">
        <f t="shared" si="4"/>
        <v>1</v>
      </c>
      <c r="D74" s="7" t="str">
        <f t="shared" si="5"/>
        <v>Jan</v>
      </c>
      <c r="E74" s="7" t="s">
        <v>1353</v>
      </c>
      <c r="F74" s="7" t="str">
        <f t="shared" si="6"/>
        <v>Sari Yuliana</v>
      </c>
      <c r="G74" s="7" t="s">
        <v>1361</v>
      </c>
      <c r="H74" s="7" t="s">
        <v>1366</v>
      </c>
      <c r="I74" s="7">
        <v>1</v>
      </c>
      <c r="J74" s="7" t="str">
        <f>INDEX(Master_Produk!$C$2:$C$11,MATCH(H74,Master_Produk!$A$2:$A$11,0))</f>
        <v>Elektronik</v>
      </c>
      <c r="K74" s="8">
        <f>INDEX(Master_Produk!$E$2:$E$11,MATCH(Data_Transaksi!H74,Master_Produk!$A$2:$A$11,0))</f>
        <v>7500000</v>
      </c>
      <c r="L74" s="8">
        <f t="shared" si="7"/>
        <v>7500000</v>
      </c>
      <c r="M74" s="8">
        <f>INDEX(Master_Target!$B$2:$M$4, MATCH(J74, Master_Target!$A$2:$A$4, 0), MATCH(TEXT(B74, "[$-421]mmmm"), Master_Target!$B$1:$M$1, 0))</f>
        <v>50000000</v>
      </c>
    </row>
    <row r="75" spans="1:13" x14ac:dyDescent="0.25">
      <c r="A75" s="7" t="s">
        <v>84</v>
      </c>
      <c r="B75" s="11" t="s">
        <v>1036</v>
      </c>
      <c r="C75" s="7">
        <f t="shared" si="4"/>
        <v>1</v>
      </c>
      <c r="D75" s="7" t="str">
        <f t="shared" si="5"/>
        <v>Jan</v>
      </c>
      <c r="E75" s="7" t="s">
        <v>1351</v>
      </c>
      <c r="F75" s="7" t="str">
        <f t="shared" si="6"/>
        <v>Siti Rahma</v>
      </c>
      <c r="G75" s="7" t="s">
        <v>1357</v>
      </c>
      <c r="H75" s="7" t="s">
        <v>1366</v>
      </c>
      <c r="I75" s="7">
        <v>1</v>
      </c>
      <c r="J75" s="7" t="str">
        <f>INDEX(Master_Produk!$C$2:$C$11,MATCH(H75,Master_Produk!$A$2:$A$11,0))</f>
        <v>Elektronik</v>
      </c>
      <c r="K75" s="8">
        <f>INDEX(Master_Produk!$E$2:$E$11,MATCH(Data_Transaksi!H75,Master_Produk!$A$2:$A$11,0))</f>
        <v>7500000</v>
      </c>
      <c r="L75" s="8">
        <f t="shared" si="7"/>
        <v>7500000</v>
      </c>
      <c r="M75" s="8">
        <f>INDEX(Master_Target!$B$2:$M$4, MATCH(J75, Master_Target!$A$2:$A$4, 0), MATCH(TEXT(B75, "[$-421]mmmm"), Master_Target!$B$1:$M$1, 0))</f>
        <v>50000000</v>
      </c>
    </row>
    <row r="76" spans="1:13" x14ac:dyDescent="0.25">
      <c r="A76" s="7" t="s">
        <v>85</v>
      </c>
      <c r="B76" s="11" t="s">
        <v>1037</v>
      </c>
      <c r="C76" s="7">
        <f t="shared" si="4"/>
        <v>1</v>
      </c>
      <c r="D76" s="7" t="str">
        <f t="shared" si="5"/>
        <v>Jan</v>
      </c>
      <c r="E76" s="7" t="s">
        <v>1352</v>
      </c>
      <c r="F76" s="7" t="str">
        <f t="shared" si="6"/>
        <v>Ahmad Fauzi</v>
      </c>
      <c r="G76" s="7" t="s">
        <v>1357</v>
      </c>
      <c r="H76" s="7" t="s">
        <v>1363</v>
      </c>
      <c r="I76" s="7">
        <v>3</v>
      </c>
      <c r="J76" s="7" t="str">
        <f>INDEX(Master_Produk!$C$2:$C$11,MATCH(H76,Master_Produk!$A$2:$A$11,0))</f>
        <v>Pakaian</v>
      </c>
      <c r="K76" s="8">
        <f>INDEX(Master_Produk!$E$2:$E$11,MATCH(Data_Transaksi!H76,Master_Produk!$A$2:$A$11,0))</f>
        <v>250000</v>
      </c>
      <c r="L76" s="8">
        <f t="shared" si="7"/>
        <v>750000</v>
      </c>
      <c r="M76" s="8">
        <f>INDEX(Master_Target!$B$2:$M$4, MATCH(J76, Master_Target!$A$2:$A$4, 0), MATCH(TEXT(B76, "[$-421]mmmm"), Master_Target!$B$1:$M$1, 0))</f>
        <v>15000000</v>
      </c>
    </row>
    <row r="77" spans="1:13" x14ac:dyDescent="0.25">
      <c r="A77" s="7" t="s">
        <v>86</v>
      </c>
      <c r="B77" s="11" t="s">
        <v>1037</v>
      </c>
      <c r="C77" s="7">
        <f t="shared" si="4"/>
        <v>1</v>
      </c>
      <c r="D77" s="7" t="str">
        <f t="shared" si="5"/>
        <v>Jan</v>
      </c>
      <c r="E77" s="7" t="s">
        <v>1350</v>
      </c>
      <c r="F77" s="7" t="str">
        <f t="shared" si="6"/>
        <v>Andi Wijaya</v>
      </c>
      <c r="G77" s="7" t="s">
        <v>1357</v>
      </c>
      <c r="H77" s="7" t="s">
        <v>1367</v>
      </c>
      <c r="I77" s="7">
        <v>1</v>
      </c>
      <c r="J77" s="7" t="str">
        <f>INDEX(Master_Produk!$C$2:$C$11,MATCH(H77,Master_Produk!$A$2:$A$11,0))</f>
        <v>Elektronik</v>
      </c>
      <c r="K77" s="8">
        <f>INDEX(Master_Produk!$E$2:$E$11,MATCH(Data_Transaksi!H77,Master_Produk!$A$2:$A$11,0))</f>
        <v>250000</v>
      </c>
      <c r="L77" s="8">
        <f t="shared" si="7"/>
        <v>250000</v>
      </c>
      <c r="M77" s="8">
        <f>INDEX(Master_Target!$B$2:$M$4, MATCH(J77, Master_Target!$A$2:$A$4, 0), MATCH(TEXT(B77, "[$-421]mmmm"), Master_Target!$B$1:$M$1, 0))</f>
        <v>50000000</v>
      </c>
    </row>
    <row r="78" spans="1:13" x14ac:dyDescent="0.25">
      <c r="A78" s="7" t="s">
        <v>87</v>
      </c>
      <c r="B78" s="11" t="s">
        <v>1038</v>
      </c>
      <c r="C78" s="7">
        <f t="shared" si="4"/>
        <v>1</v>
      </c>
      <c r="D78" s="7" t="str">
        <f t="shared" si="5"/>
        <v>Jan</v>
      </c>
      <c r="E78" s="7" t="s">
        <v>1351</v>
      </c>
      <c r="F78" s="7" t="str">
        <f t="shared" si="6"/>
        <v>Siti Rahma</v>
      </c>
      <c r="G78" s="7" t="s">
        <v>1359</v>
      </c>
      <c r="H78" s="7" t="s">
        <v>1362</v>
      </c>
      <c r="I78" s="7">
        <v>1</v>
      </c>
      <c r="J78" s="7" t="str">
        <f>INDEX(Master_Produk!$C$2:$C$11,MATCH(H78,Master_Produk!$A$2:$A$11,0))</f>
        <v>Pakaian</v>
      </c>
      <c r="K78" s="8">
        <f>INDEX(Master_Produk!$E$2:$E$11,MATCH(Data_Transaksi!H78,Master_Produk!$A$2:$A$11,0))</f>
        <v>350000</v>
      </c>
      <c r="L78" s="8">
        <f t="shared" si="7"/>
        <v>350000</v>
      </c>
      <c r="M78" s="8">
        <f>INDEX(Master_Target!$B$2:$M$4, MATCH(J78, Master_Target!$A$2:$A$4, 0), MATCH(TEXT(B78, "[$-421]mmmm"), Master_Target!$B$1:$M$1, 0))</f>
        <v>15000000</v>
      </c>
    </row>
    <row r="79" spans="1:13" x14ac:dyDescent="0.25">
      <c r="A79" s="7" t="s">
        <v>88</v>
      </c>
      <c r="B79" s="11" t="s">
        <v>1039</v>
      </c>
      <c r="C79" s="7">
        <f t="shared" si="4"/>
        <v>1</v>
      </c>
      <c r="D79" s="7" t="str">
        <f t="shared" si="5"/>
        <v>Jan</v>
      </c>
      <c r="E79" s="7" t="s">
        <v>1355</v>
      </c>
      <c r="F79" s="7" t="str">
        <f t="shared" si="6"/>
        <v>Bambang H.</v>
      </c>
      <c r="G79" s="7" t="s">
        <v>1360</v>
      </c>
      <c r="H79" s="7" t="s">
        <v>1367</v>
      </c>
      <c r="I79" s="7">
        <v>3</v>
      </c>
      <c r="J79" s="7" t="str">
        <f>INDEX(Master_Produk!$C$2:$C$11,MATCH(H79,Master_Produk!$A$2:$A$11,0))</f>
        <v>Elektronik</v>
      </c>
      <c r="K79" s="8">
        <f>INDEX(Master_Produk!$E$2:$E$11,MATCH(Data_Transaksi!H79,Master_Produk!$A$2:$A$11,0))</f>
        <v>250000</v>
      </c>
      <c r="L79" s="8">
        <f t="shared" si="7"/>
        <v>750000</v>
      </c>
      <c r="M79" s="8">
        <f>INDEX(Master_Target!$B$2:$M$4, MATCH(J79, Master_Target!$A$2:$A$4, 0), MATCH(TEXT(B79, "[$-421]mmmm"), Master_Target!$B$1:$M$1, 0))</f>
        <v>50000000</v>
      </c>
    </row>
    <row r="80" spans="1:13" x14ac:dyDescent="0.25">
      <c r="A80" s="7" t="s">
        <v>89</v>
      </c>
      <c r="B80" s="11" t="s">
        <v>1040</v>
      </c>
      <c r="C80" s="7">
        <f t="shared" si="4"/>
        <v>2</v>
      </c>
      <c r="D80" s="7" t="str">
        <f t="shared" si="5"/>
        <v>Feb</v>
      </c>
      <c r="E80" s="7" t="s">
        <v>1354</v>
      </c>
      <c r="F80" s="7" t="str">
        <f t="shared" si="6"/>
        <v>Mega Utami</v>
      </c>
      <c r="G80" s="7" t="s">
        <v>1360</v>
      </c>
      <c r="H80" s="7" t="s">
        <v>1363</v>
      </c>
      <c r="I80" s="7">
        <v>3</v>
      </c>
      <c r="J80" s="7" t="str">
        <f>INDEX(Master_Produk!$C$2:$C$11,MATCH(H80,Master_Produk!$A$2:$A$11,0))</f>
        <v>Pakaian</v>
      </c>
      <c r="K80" s="8">
        <f>INDEX(Master_Produk!$E$2:$E$11,MATCH(Data_Transaksi!H80,Master_Produk!$A$2:$A$11,0))</f>
        <v>250000</v>
      </c>
      <c r="L80" s="8">
        <f t="shared" si="7"/>
        <v>750000</v>
      </c>
      <c r="M80" s="8">
        <f>INDEX(Master_Target!$B$2:$M$4, MATCH(J80, Master_Target!$A$2:$A$4, 0), MATCH(TEXT(B80, "[$-421]mmmm"), Master_Target!$B$1:$M$1, 0))</f>
        <v>16500000</v>
      </c>
    </row>
    <row r="81" spans="1:13" x14ac:dyDescent="0.25">
      <c r="A81" s="7" t="s">
        <v>90</v>
      </c>
      <c r="B81" s="11" t="s">
        <v>1040</v>
      </c>
      <c r="C81" s="7">
        <f t="shared" si="4"/>
        <v>2</v>
      </c>
      <c r="D81" s="7" t="str">
        <f t="shared" si="5"/>
        <v>Feb</v>
      </c>
      <c r="E81" s="7" t="s">
        <v>1349</v>
      </c>
      <c r="F81" s="7" t="str">
        <f t="shared" si="6"/>
        <v>Dewi Lestari</v>
      </c>
      <c r="G81" s="7" t="s">
        <v>1358</v>
      </c>
      <c r="H81" s="7" t="s">
        <v>1368</v>
      </c>
      <c r="I81" s="7">
        <v>2</v>
      </c>
      <c r="J81" s="7" t="str">
        <f>INDEX(Master_Produk!$C$2:$C$11,MATCH(H81,Master_Produk!$A$2:$A$11,0))</f>
        <v>Furnitur</v>
      </c>
      <c r="K81" s="8">
        <f>INDEX(Master_Produk!$E$2:$E$11,MATCH(Data_Transaksi!H81,Master_Produk!$A$2:$A$11,0))</f>
        <v>650000</v>
      </c>
      <c r="L81" s="8">
        <f t="shared" si="7"/>
        <v>1300000</v>
      </c>
      <c r="M81" s="8">
        <f>INDEX(Master_Target!$B$2:$M$4, MATCH(J81, Master_Target!$A$2:$A$4, 0), MATCH(TEXT(B81, "[$-421]mmmm"), Master_Target!$B$1:$M$1, 0))</f>
        <v>22000000</v>
      </c>
    </row>
    <row r="82" spans="1:13" x14ac:dyDescent="0.25">
      <c r="A82" s="7" t="s">
        <v>91</v>
      </c>
      <c r="B82" s="11" t="s">
        <v>1040</v>
      </c>
      <c r="C82" s="7">
        <f t="shared" si="4"/>
        <v>2</v>
      </c>
      <c r="D82" s="7" t="str">
        <f t="shared" si="5"/>
        <v>Feb</v>
      </c>
      <c r="E82" s="7" t="s">
        <v>1352</v>
      </c>
      <c r="F82" s="7" t="str">
        <f t="shared" si="6"/>
        <v>Ahmad Fauzi</v>
      </c>
      <c r="G82" s="7" t="s">
        <v>1359</v>
      </c>
      <c r="H82" s="7" t="s">
        <v>1366</v>
      </c>
      <c r="I82" s="7">
        <v>2</v>
      </c>
      <c r="J82" s="7" t="str">
        <f>INDEX(Master_Produk!$C$2:$C$11,MATCH(H82,Master_Produk!$A$2:$A$11,0))</f>
        <v>Elektronik</v>
      </c>
      <c r="K82" s="8">
        <f>INDEX(Master_Produk!$E$2:$E$11,MATCH(Data_Transaksi!H82,Master_Produk!$A$2:$A$11,0))</f>
        <v>7500000</v>
      </c>
      <c r="L82" s="8">
        <f t="shared" si="7"/>
        <v>15000000</v>
      </c>
      <c r="M82" s="8">
        <f>INDEX(Master_Target!$B$2:$M$4, MATCH(J82, Master_Target!$A$2:$A$4, 0), MATCH(TEXT(B82, "[$-421]mmmm"), Master_Target!$B$1:$M$1, 0))</f>
        <v>55000000</v>
      </c>
    </row>
    <row r="83" spans="1:13" x14ac:dyDescent="0.25">
      <c r="A83" s="7" t="s">
        <v>92</v>
      </c>
      <c r="B83" s="11" t="s">
        <v>1041</v>
      </c>
      <c r="C83" s="7">
        <f t="shared" si="4"/>
        <v>2</v>
      </c>
      <c r="D83" s="7" t="str">
        <f t="shared" si="5"/>
        <v>Feb</v>
      </c>
      <c r="E83" s="7" t="s">
        <v>1350</v>
      </c>
      <c r="F83" s="7" t="str">
        <f t="shared" si="6"/>
        <v>Andi Wijaya</v>
      </c>
      <c r="G83" s="7" t="s">
        <v>1358</v>
      </c>
      <c r="H83" s="7" t="s">
        <v>1369</v>
      </c>
      <c r="I83" s="7">
        <v>2</v>
      </c>
      <c r="J83" s="7" t="str">
        <f>INDEX(Master_Produk!$C$2:$C$11,MATCH(H83,Master_Produk!$A$2:$A$11,0))</f>
        <v>Elektronik</v>
      </c>
      <c r="K83" s="8">
        <f>INDEX(Master_Produk!$E$2:$E$11,MATCH(Data_Transaksi!H83,Master_Produk!$A$2:$A$11,0))</f>
        <v>4500000</v>
      </c>
      <c r="L83" s="8">
        <f t="shared" si="7"/>
        <v>9000000</v>
      </c>
      <c r="M83" s="8">
        <f>INDEX(Master_Target!$B$2:$M$4, MATCH(J83, Master_Target!$A$2:$A$4, 0), MATCH(TEXT(B83, "[$-421]mmmm"), Master_Target!$B$1:$M$1, 0))</f>
        <v>55000000</v>
      </c>
    </row>
    <row r="84" spans="1:13" x14ac:dyDescent="0.25">
      <c r="A84" s="7" t="s">
        <v>93</v>
      </c>
      <c r="B84" s="11" t="s">
        <v>1041</v>
      </c>
      <c r="C84" s="7">
        <f t="shared" si="4"/>
        <v>2</v>
      </c>
      <c r="D84" s="7" t="str">
        <f t="shared" si="5"/>
        <v>Feb</v>
      </c>
      <c r="E84" s="7" t="s">
        <v>1356</v>
      </c>
      <c r="F84" s="7" t="str">
        <f t="shared" si="6"/>
        <v>Eko Prasetyo</v>
      </c>
      <c r="G84" s="7" t="s">
        <v>1360</v>
      </c>
      <c r="H84" s="7" t="s">
        <v>1365</v>
      </c>
      <c r="I84" s="7">
        <v>1</v>
      </c>
      <c r="J84" s="7" t="str">
        <f>INDEX(Master_Produk!$C$2:$C$11,MATCH(H84,Master_Produk!$A$2:$A$11,0))</f>
        <v>Elektronik</v>
      </c>
      <c r="K84" s="8">
        <f>INDEX(Master_Produk!$E$2:$E$11,MATCH(Data_Transaksi!H84,Master_Produk!$A$2:$A$11,0))</f>
        <v>1800000</v>
      </c>
      <c r="L84" s="8">
        <f t="shared" si="7"/>
        <v>1800000</v>
      </c>
      <c r="M84" s="8">
        <f>INDEX(Master_Target!$B$2:$M$4, MATCH(J84, Master_Target!$A$2:$A$4, 0), MATCH(TEXT(B84, "[$-421]mmmm"), Master_Target!$B$1:$M$1, 0))</f>
        <v>55000000</v>
      </c>
    </row>
    <row r="85" spans="1:13" x14ac:dyDescent="0.25">
      <c r="A85" s="7" t="s">
        <v>94</v>
      </c>
      <c r="B85" s="11" t="s">
        <v>1041</v>
      </c>
      <c r="C85" s="7">
        <f t="shared" si="4"/>
        <v>2</v>
      </c>
      <c r="D85" s="7" t="str">
        <f t="shared" si="5"/>
        <v>Feb</v>
      </c>
      <c r="E85" s="7" t="s">
        <v>1348</v>
      </c>
      <c r="F85" s="7" t="str">
        <f t="shared" si="6"/>
        <v>Budi Santoso</v>
      </c>
      <c r="G85" s="7" t="s">
        <v>1360</v>
      </c>
      <c r="H85" s="7" t="s">
        <v>1370</v>
      </c>
      <c r="I85" s="7">
        <v>1</v>
      </c>
      <c r="J85" s="7" t="str">
        <f>INDEX(Master_Produk!$C$2:$C$11,MATCH(H85,Master_Produk!$A$2:$A$11,0))</f>
        <v>Furnitur</v>
      </c>
      <c r="K85" s="8">
        <f>INDEX(Master_Produk!$E$2:$E$11,MATCH(Data_Transaksi!H85,Master_Produk!$A$2:$A$11,0))</f>
        <v>1200000</v>
      </c>
      <c r="L85" s="8">
        <f t="shared" si="7"/>
        <v>1200000</v>
      </c>
      <c r="M85" s="8">
        <f>INDEX(Master_Target!$B$2:$M$4, MATCH(J85, Master_Target!$A$2:$A$4, 0), MATCH(TEXT(B85, "[$-421]mmmm"), Master_Target!$B$1:$M$1, 0))</f>
        <v>22000000</v>
      </c>
    </row>
    <row r="86" spans="1:13" x14ac:dyDescent="0.25">
      <c r="A86" s="7" t="s">
        <v>95</v>
      </c>
      <c r="B86" s="11" t="s">
        <v>1041</v>
      </c>
      <c r="C86" s="7">
        <f t="shared" si="4"/>
        <v>2</v>
      </c>
      <c r="D86" s="7" t="str">
        <f t="shared" si="5"/>
        <v>Feb</v>
      </c>
      <c r="E86" s="7" t="s">
        <v>1350</v>
      </c>
      <c r="F86" s="7" t="str">
        <f t="shared" si="6"/>
        <v>Andi Wijaya</v>
      </c>
      <c r="G86" s="7" t="s">
        <v>1360</v>
      </c>
      <c r="H86" s="7" t="s">
        <v>1363</v>
      </c>
      <c r="I86" s="7">
        <v>1</v>
      </c>
      <c r="J86" s="7" t="str">
        <f>INDEX(Master_Produk!$C$2:$C$11,MATCH(H86,Master_Produk!$A$2:$A$11,0))</f>
        <v>Pakaian</v>
      </c>
      <c r="K86" s="8">
        <f>INDEX(Master_Produk!$E$2:$E$11,MATCH(Data_Transaksi!H86,Master_Produk!$A$2:$A$11,0))</f>
        <v>250000</v>
      </c>
      <c r="L86" s="8">
        <f t="shared" si="7"/>
        <v>250000</v>
      </c>
      <c r="M86" s="8">
        <f>INDEX(Master_Target!$B$2:$M$4, MATCH(J86, Master_Target!$A$2:$A$4, 0), MATCH(TEXT(B86, "[$-421]mmmm"), Master_Target!$B$1:$M$1, 0))</f>
        <v>16500000</v>
      </c>
    </row>
    <row r="87" spans="1:13" x14ac:dyDescent="0.25">
      <c r="A87" s="7" t="s">
        <v>96</v>
      </c>
      <c r="B87" s="11" t="s">
        <v>1042</v>
      </c>
      <c r="C87" s="7">
        <f t="shared" si="4"/>
        <v>2</v>
      </c>
      <c r="D87" s="7" t="str">
        <f t="shared" si="5"/>
        <v>Feb</v>
      </c>
      <c r="E87" s="7" t="s">
        <v>1348</v>
      </c>
      <c r="F87" s="7" t="str">
        <f t="shared" si="6"/>
        <v>Budi Santoso</v>
      </c>
      <c r="G87" s="7" t="s">
        <v>1361</v>
      </c>
      <c r="H87" s="7" t="s">
        <v>1371</v>
      </c>
      <c r="I87" s="7">
        <v>4</v>
      </c>
      <c r="J87" s="7" t="str">
        <f>INDEX(Master_Produk!$C$2:$C$11,MATCH(H87,Master_Produk!$A$2:$A$11,0))</f>
        <v>Pakaian</v>
      </c>
      <c r="K87" s="8">
        <f>INDEX(Master_Produk!$E$2:$E$11,MATCH(Data_Transaksi!H87,Master_Produk!$A$2:$A$11,0))</f>
        <v>280000</v>
      </c>
      <c r="L87" s="8">
        <f t="shared" si="7"/>
        <v>1120000</v>
      </c>
      <c r="M87" s="8">
        <f>INDEX(Master_Target!$B$2:$M$4, MATCH(J87, Master_Target!$A$2:$A$4, 0), MATCH(TEXT(B87, "[$-421]mmmm"), Master_Target!$B$1:$M$1, 0))</f>
        <v>16500000</v>
      </c>
    </row>
    <row r="88" spans="1:13" x14ac:dyDescent="0.25">
      <c r="A88" s="7" t="s">
        <v>97</v>
      </c>
      <c r="B88" s="11" t="s">
        <v>1042</v>
      </c>
      <c r="C88" s="7">
        <f t="shared" si="4"/>
        <v>2</v>
      </c>
      <c r="D88" s="7" t="str">
        <f t="shared" si="5"/>
        <v>Feb</v>
      </c>
      <c r="E88" s="7" t="s">
        <v>1356</v>
      </c>
      <c r="F88" s="7" t="str">
        <f t="shared" si="6"/>
        <v>Eko Prasetyo</v>
      </c>
      <c r="G88" s="7" t="s">
        <v>1358</v>
      </c>
      <c r="H88" s="7" t="s">
        <v>1365</v>
      </c>
      <c r="I88" s="7">
        <v>2</v>
      </c>
      <c r="J88" s="7" t="str">
        <f>INDEX(Master_Produk!$C$2:$C$11,MATCH(H88,Master_Produk!$A$2:$A$11,0))</f>
        <v>Elektronik</v>
      </c>
      <c r="K88" s="8">
        <f>INDEX(Master_Produk!$E$2:$E$11,MATCH(Data_Transaksi!H88,Master_Produk!$A$2:$A$11,0))</f>
        <v>1800000</v>
      </c>
      <c r="L88" s="8">
        <f t="shared" si="7"/>
        <v>3600000</v>
      </c>
      <c r="M88" s="8">
        <f>INDEX(Master_Target!$B$2:$M$4, MATCH(J88, Master_Target!$A$2:$A$4, 0), MATCH(TEXT(B88, "[$-421]mmmm"), Master_Target!$B$1:$M$1, 0))</f>
        <v>55000000</v>
      </c>
    </row>
    <row r="89" spans="1:13" x14ac:dyDescent="0.25">
      <c r="A89" s="7" t="s">
        <v>98</v>
      </c>
      <c r="B89" s="11" t="s">
        <v>1042</v>
      </c>
      <c r="C89" s="7">
        <f t="shared" si="4"/>
        <v>2</v>
      </c>
      <c r="D89" s="7" t="str">
        <f t="shared" si="5"/>
        <v>Feb</v>
      </c>
      <c r="E89" s="7" t="s">
        <v>1354</v>
      </c>
      <c r="F89" s="7" t="str">
        <f t="shared" si="6"/>
        <v>Mega Utami</v>
      </c>
      <c r="G89" s="7" t="s">
        <v>1359</v>
      </c>
      <c r="H89" s="7" t="s">
        <v>1371</v>
      </c>
      <c r="I89" s="7">
        <v>2</v>
      </c>
      <c r="J89" s="7" t="str">
        <f>INDEX(Master_Produk!$C$2:$C$11,MATCH(H89,Master_Produk!$A$2:$A$11,0))</f>
        <v>Pakaian</v>
      </c>
      <c r="K89" s="8">
        <f>INDEX(Master_Produk!$E$2:$E$11,MATCH(Data_Transaksi!H89,Master_Produk!$A$2:$A$11,0))</f>
        <v>280000</v>
      </c>
      <c r="L89" s="8">
        <f t="shared" si="7"/>
        <v>560000</v>
      </c>
      <c r="M89" s="8">
        <f>INDEX(Master_Target!$B$2:$M$4, MATCH(J89, Master_Target!$A$2:$A$4, 0), MATCH(TEXT(B89, "[$-421]mmmm"), Master_Target!$B$1:$M$1, 0))</f>
        <v>16500000</v>
      </c>
    </row>
    <row r="90" spans="1:13" x14ac:dyDescent="0.25">
      <c r="A90" s="7" t="s">
        <v>99</v>
      </c>
      <c r="B90" s="11" t="s">
        <v>1042</v>
      </c>
      <c r="C90" s="7">
        <f t="shared" si="4"/>
        <v>2</v>
      </c>
      <c r="D90" s="7" t="str">
        <f t="shared" si="5"/>
        <v>Feb</v>
      </c>
      <c r="E90" s="7" t="s">
        <v>1349</v>
      </c>
      <c r="F90" s="7" t="str">
        <f t="shared" si="6"/>
        <v>Dewi Lestari</v>
      </c>
      <c r="G90" s="7" t="s">
        <v>1358</v>
      </c>
      <c r="H90" s="7" t="s">
        <v>1366</v>
      </c>
      <c r="I90" s="7">
        <v>2</v>
      </c>
      <c r="J90" s="7" t="str">
        <f>INDEX(Master_Produk!$C$2:$C$11,MATCH(H90,Master_Produk!$A$2:$A$11,0))</f>
        <v>Elektronik</v>
      </c>
      <c r="K90" s="8">
        <f>INDEX(Master_Produk!$E$2:$E$11,MATCH(Data_Transaksi!H90,Master_Produk!$A$2:$A$11,0))</f>
        <v>7500000</v>
      </c>
      <c r="L90" s="8">
        <f t="shared" si="7"/>
        <v>15000000</v>
      </c>
      <c r="M90" s="8">
        <f>INDEX(Master_Target!$B$2:$M$4, MATCH(J90, Master_Target!$A$2:$A$4, 0), MATCH(TEXT(B90, "[$-421]mmmm"), Master_Target!$B$1:$M$1, 0))</f>
        <v>55000000</v>
      </c>
    </row>
    <row r="91" spans="1:13" x14ac:dyDescent="0.25">
      <c r="A91" s="7" t="s">
        <v>100</v>
      </c>
      <c r="B91" s="11" t="s">
        <v>1042</v>
      </c>
      <c r="C91" s="7">
        <f t="shared" si="4"/>
        <v>2</v>
      </c>
      <c r="D91" s="7" t="str">
        <f t="shared" si="5"/>
        <v>Feb</v>
      </c>
      <c r="E91" s="7" t="s">
        <v>1347</v>
      </c>
      <c r="F91" s="7" t="str">
        <f t="shared" si="6"/>
        <v>Rina Marlina</v>
      </c>
      <c r="G91" s="7" t="s">
        <v>1360</v>
      </c>
      <c r="H91" s="7" t="s">
        <v>1365</v>
      </c>
      <c r="I91" s="7">
        <v>5</v>
      </c>
      <c r="J91" s="7" t="str">
        <f>INDEX(Master_Produk!$C$2:$C$11,MATCH(H91,Master_Produk!$A$2:$A$11,0))</f>
        <v>Elektronik</v>
      </c>
      <c r="K91" s="8">
        <f>INDEX(Master_Produk!$E$2:$E$11,MATCH(Data_Transaksi!H91,Master_Produk!$A$2:$A$11,0))</f>
        <v>1800000</v>
      </c>
      <c r="L91" s="8">
        <f t="shared" si="7"/>
        <v>9000000</v>
      </c>
      <c r="M91" s="8">
        <f>INDEX(Master_Target!$B$2:$M$4, MATCH(J91, Master_Target!$A$2:$A$4, 0), MATCH(TEXT(B91, "[$-421]mmmm"), Master_Target!$B$1:$M$1, 0))</f>
        <v>55000000</v>
      </c>
    </row>
    <row r="92" spans="1:13" x14ac:dyDescent="0.25">
      <c r="A92" s="7" t="s">
        <v>101</v>
      </c>
      <c r="B92" s="11" t="s">
        <v>1043</v>
      </c>
      <c r="C92" s="7">
        <f t="shared" si="4"/>
        <v>2</v>
      </c>
      <c r="D92" s="7" t="str">
        <f t="shared" si="5"/>
        <v>Feb</v>
      </c>
      <c r="E92" s="7" t="s">
        <v>1350</v>
      </c>
      <c r="F92" s="7" t="str">
        <f t="shared" si="6"/>
        <v>Andi Wijaya</v>
      </c>
      <c r="G92" s="7" t="s">
        <v>1359</v>
      </c>
      <c r="H92" s="7" t="s">
        <v>1366</v>
      </c>
      <c r="I92" s="7">
        <v>1</v>
      </c>
      <c r="J92" s="7" t="str">
        <f>INDEX(Master_Produk!$C$2:$C$11,MATCH(H92,Master_Produk!$A$2:$A$11,0))</f>
        <v>Elektronik</v>
      </c>
      <c r="K92" s="8">
        <f>INDEX(Master_Produk!$E$2:$E$11,MATCH(Data_Transaksi!H92,Master_Produk!$A$2:$A$11,0))</f>
        <v>7500000</v>
      </c>
      <c r="L92" s="8">
        <f t="shared" si="7"/>
        <v>7500000</v>
      </c>
      <c r="M92" s="8">
        <f>INDEX(Master_Target!$B$2:$M$4, MATCH(J92, Master_Target!$A$2:$A$4, 0), MATCH(TEXT(B92, "[$-421]mmmm"), Master_Target!$B$1:$M$1, 0))</f>
        <v>55000000</v>
      </c>
    </row>
    <row r="93" spans="1:13" x14ac:dyDescent="0.25">
      <c r="A93" s="7" t="s">
        <v>102</v>
      </c>
      <c r="B93" s="11" t="s">
        <v>1043</v>
      </c>
      <c r="C93" s="7">
        <f t="shared" si="4"/>
        <v>2</v>
      </c>
      <c r="D93" s="7" t="str">
        <f t="shared" si="5"/>
        <v>Feb</v>
      </c>
      <c r="E93" s="7" t="s">
        <v>1353</v>
      </c>
      <c r="F93" s="7" t="str">
        <f t="shared" si="6"/>
        <v>Sari Yuliana</v>
      </c>
      <c r="G93" s="7" t="s">
        <v>1358</v>
      </c>
      <c r="H93" s="7" t="s">
        <v>1362</v>
      </c>
      <c r="I93" s="7">
        <v>2</v>
      </c>
      <c r="J93" s="7" t="str">
        <f>INDEX(Master_Produk!$C$2:$C$11,MATCH(H93,Master_Produk!$A$2:$A$11,0))</f>
        <v>Pakaian</v>
      </c>
      <c r="K93" s="8">
        <f>INDEX(Master_Produk!$E$2:$E$11,MATCH(Data_Transaksi!H93,Master_Produk!$A$2:$A$11,0))</f>
        <v>350000</v>
      </c>
      <c r="L93" s="8">
        <f t="shared" si="7"/>
        <v>700000</v>
      </c>
      <c r="M93" s="8">
        <f>INDEX(Master_Target!$B$2:$M$4, MATCH(J93, Master_Target!$A$2:$A$4, 0), MATCH(TEXT(B93, "[$-421]mmmm"), Master_Target!$B$1:$M$1, 0))</f>
        <v>16500000</v>
      </c>
    </row>
    <row r="94" spans="1:13" x14ac:dyDescent="0.25">
      <c r="A94" s="7" t="s">
        <v>103</v>
      </c>
      <c r="B94" s="11" t="s">
        <v>1043</v>
      </c>
      <c r="C94" s="7">
        <f t="shared" si="4"/>
        <v>2</v>
      </c>
      <c r="D94" s="7" t="str">
        <f t="shared" si="5"/>
        <v>Feb</v>
      </c>
      <c r="E94" s="7" t="s">
        <v>1356</v>
      </c>
      <c r="F94" s="7" t="str">
        <f t="shared" si="6"/>
        <v>Eko Prasetyo</v>
      </c>
      <c r="G94" s="7" t="s">
        <v>1360</v>
      </c>
      <c r="H94" s="7" t="s">
        <v>1368</v>
      </c>
      <c r="I94" s="7">
        <v>2</v>
      </c>
      <c r="J94" s="7" t="str">
        <f>INDEX(Master_Produk!$C$2:$C$11,MATCH(H94,Master_Produk!$A$2:$A$11,0))</f>
        <v>Furnitur</v>
      </c>
      <c r="K94" s="8">
        <f>INDEX(Master_Produk!$E$2:$E$11,MATCH(Data_Transaksi!H94,Master_Produk!$A$2:$A$11,0))</f>
        <v>650000</v>
      </c>
      <c r="L94" s="8">
        <f t="shared" si="7"/>
        <v>1300000</v>
      </c>
      <c r="M94" s="8">
        <f>INDEX(Master_Target!$B$2:$M$4, MATCH(J94, Master_Target!$A$2:$A$4, 0), MATCH(TEXT(B94, "[$-421]mmmm"), Master_Target!$B$1:$M$1, 0))</f>
        <v>22000000</v>
      </c>
    </row>
    <row r="95" spans="1:13" x14ac:dyDescent="0.25">
      <c r="A95" s="7" t="s">
        <v>104</v>
      </c>
      <c r="B95" s="11" t="s">
        <v>1043</v>
      </c>
      <c r="C95" s="7">
        <f t="shared" si="4"/>
        <v>2</v>
      </c>
      <c r="D95" s="7" t="str">
        <f t="shared" si="5"/>
        <v>Feb</v>
      </c>
      <c r="E95" s="7" t="s">
        <v>1350</v>
      </c>
      <c r="F95" s="7" t="str">
        <f t="shared" si="6"/>
        <v>Andi Wijaya</v>
      </c>
      <c r="G95" s="7" t="s">
        <v>1360</v>
      </c>
      <c r="H95" s="7" t="s">
        <v>1364</v>
      </c>
      <c r="I95" s="7">
        <v>2</v>
      </c>
      <c r="J95" s="7" t="str">
        <f>INDEX(Master_Produk!$C$2:$C$11,MATCH(H95,Master_Produk!$A$2:$A$11,0))</f>
        <v>Furnitur</v>
      </c>
      <c r="K95" s="8">
        <f>INDEX(Master_Produk!$E$2:$E$11,MATCH(Data_Transaksi!H95,Master_Produk!$A$2:$A$11,0))</f>
        <v>950000</v>
      </c>
      <c r="L95" s="8">
        <f t="shared" si="7"/>
        <v>1900000</v>
      </c>
      <c r="M95" s="8">
        <f>INDEX(Master_Target!$B$2:$M$4, MATCH(J95, Master_Target!$A$2:$A$4, 0), MATCH(TEXT(B95, "[$-421]mmmm"), Master_Target!$B$1:$M$1, 0))</f>
        <v>22000000</v>
      </c>
    </row>
    <row r="96" spans="1:13" x14ac:dyDescent="0.25">
      <c r="A96" s="7" t="s">
        <v>105</v>
      </c>
      <c r="B96" s="11" t="s">
        <v>1044</v>
      </c>
      <c r="C96" s="7">
        <f t="shared" si="4"/>
        <v>2</v>
      </c>
      <c r="D96" s="7" t="str">
        <f t="shared" si="5"/>
        <v>Feb</v>
      </c>
      <c r="E96" s="7" t="s">
        <v>1355</v>
      </c>
      <c r="F96" s="7" t="str">
        <f t="shared" si="6"/>
        <v>Bambang H.</v>
      </c>
      <c r="G96" s="7" t="s">
        <v>1359</v>
      </c>
      <c r="H96" s="7" t="s">
        <v>1371</v>
      </c>
      <c r="I96" s="7">
        <v>1</v>
      </c>
      <c r="J96" s="7" t="str">
        <f>INDEX(Master_Produk!$C$2:$C$11,MATCH(H96,Master_Produk!$A$2:$A$11,0))</f>
        <v>Pakaian</v>
      </c>
      <c r="K96" s="8">
        <f>INDEX(Master_Produk!$E$2:$E$11,MATCH(Data_Transaksi!H96,Master_Produk!$A$2:$A$11,0))</f>
        <v>280000</v>
      </c>
      <c r="L96" s="8">
        <f t="shared" si="7"/>
        <v>280000</v>
      </c>
      <c r="M96" s="8">
        <f>INDEX(Master_Target!$B$2:$M$4, MATCH(J96, Master_Target!$A$2:$A$4, 0), MATCH(TEXT(B96, "[$-421]mmmm"), Master_Target!$B$1:$M$1, 0))</f>
        <v>16500000</v>
      </c>
    </row>
    <row r="97" spans="1:13" x14ac:dyDescent="0.25">
      <c r="A97" s="7" t="s">
        <v>106</v>
      </c>
      <c r="B97" s="11" t="s">
        <v>1044</v>
      </c>
      <c r="C97" s="7">
        <f t="shared" si="4"/>
        <v>2</v>
      </c>
      <c r="D97" s="7" t="str">
        <f t="shared" si="5"/>
        <v>Feb</v>
      </c>
      <c r="E97" s="7" t="s">
        <v>1354</v>
      </c>
      <c r="F97" s="7" t="str">
        <f t="shared" si="6"/>
        <v>Mega Utami</v>
      </c>
      <c r="G97" s="7" t="s">
        <v>1357</v>
      </c>
      <c r="H97" s="7" t="s">
        <v>1368</v>
      </c>
      <c r="I97" s="7">
        <v>4</v>
      </c>
      <c r="J97" s="7" t="str">
        <f>INDEX(Master_Produk!$C$2:$C$11,MATCH(H97,Master_Produk!$A$2:$A$11,0))</f>
        <v>Furnitur</v>
      </c>
      <c r="K97" s="8">
        <f>INDEX(Master_Produk!$E$2:$E$11,MATCH(Data_Transaksi!H97,Master_Produk!$A$2:$A$11,0))</f>
        <v>650000</v>
      </c>
      <c r="L97" s="8">
        <f t="shared" si="7"/>
        <v>2600000</v>
      </c>
      <c r="M97" s="8">
        <f>INDEX(Master_Target!$B$2:$M$4, MATCH(J97, Master_Target!$A$2:$A$4, 0), MATCH(TEXT(B97, "[$-421]mmmm"), Master_Target!$B$1:$M$1, 0))</f>
        <v>22000000</v>
      </c>
    </row>
    <row r="98" spans="1:13" x14ac:dyDescent="0.25">
      <c r="A98" s="7" t="s">
        <v>107</v>
      </c>
      <c r="B98" s="11" t="s">
        <v>1044</v>
      </c>
      <c r="C98" s="7">
        <f t="shared" si="4"/>
        <v>2</v>
      </c>
      <c r="D98" s="7" t="str">
        <f t="shared" si="5"/>
        <v>Feb</v>
      </c>
      <c r="E98" s="7" t="s">
        <v>1355</v>
      </c>
      <c r="F98" s="7" t="str">
        <f t="shared" si="6"/>
        <v>Bambang H.</v>
      </c>
      <c r="G98" s="7" t="s">
        <v>1359</v>
      </c>
      <c r="H98" s="7" t="s">
        <v>1363</v>
      </c>
      <c r="I98" s="7">
        <v>5</v>
      </c>
      <c r="J98" s="7" t="str">
        <f>INDEX(Master_Produk!$C$2:$C$11,MATCH(H98,Master_Produk!$A$2:$A$11,0))</f>
        <v>Pakaian</v>
      </c>
      <c r="K98" s="8">
        <f>INDEX(Master_Produk!$E$2:$E$11,MATCH(Data_Transaksi!H98,Master_Produk!$A$2:$A$11,0))</f>
        <v>250000</v>
      </c>
      <c r="L98" s="8">
        <f t="shared" si="7"/>
        <v>1250000</v>
      </c>
      <c r="M98" s="8">
        <f>INDEX(Master_Target!$B$2:$M$4, MATCH(J98, Master_Target!$A$2:$A$4, 0), MATCH(TEXT(B98, "[$-421]mmmm"), Master_Target!$B$1:$M$1, 0))</f>
        <v>16500000</v>
      </c>
    </row>
    <row r="99" spans="1:13" x14ac:dyDescent="0.25">
      <c r="A99" s="7" t="s">
        <v>108</v>
      </c>
      <c r="B99" s="11" t="s">
        <v>1045</v>
      </c>
      <c r="C99" s="7">
        <f t="shared" si="4"/>
        <v>2</v>
      </c>
      <c r="D99" s="7" t="str">
        <f t="shared" si="5"/>
        <v>Feb</v>
      </c>
      <c r="E99" s="7" t="s">
        <v>1351</v>
      </c>
      <c r="F99" s="7" t="str">
        <f t="shared" si="6"/>
        <v>Siti Rahma</v>
      </c>
      <c r="G99" s="7" t="s">
        <v>1357</v>
      </c>
      <c r="H99" s="7" t="s">
        <v>1369</v>
      </c>
      <c r="I99" s="7">
        <v>2</v>
      </c>
      <c r="J99" s="7" t="str">
        <f>INDEX(Master_Produk!$C$2:$C$11,MATCH(H99,Master_Produk!$A$2:$A$11,0))</f>
        <v>Elektronik</v>
      </c>
      <c r="K99" s="8">
        <f>INDEX(Master_Produk!$E$2:$E$11,MATCH(Data_Transaksi!H99,Master_Produk!$A$2:$A$11,0))</f>
        <v>4500000</v>
      </c>
      <c r="L99" s="8">
        <f t="shared" si="7"/>
        <v>9000000</v>
      </c>
      <c r="M99" s="8">
        <f>INDEX(Master_Target!$B$2:$M$4, MATCH(J99, Master_Target!$A$2:$A$4, 0), MATCH(TEXT(B99, "[$-421]mmmm"), Master_Target!$B$1:$M$1, 0))</f>
        <v>55000000</v>
      </c>
    </row>
    <row r="100" spans="1:13" x14ac:dyDescent="0.25">
      <c r="A100" s="7" t="s">
        <v>109</v>
      </c>
      <c r="B100" s="11" t="s">
        <v>1045</v>
      </c>
      <c r="C100" s="7">
        <f t="shared" si="4"/>
        <v>2</v>
      </c>
      <c r="D100" s="7" t="str">
        <f t="shared" si="5"/>
        <v>Feb</v>
      </c>
      <c r="E100" s="7" t="s">
        <v>1349</v>
      </c>
      <c r="F100" s="7" t="str">
        <f t="shared" si="6"/>
        <v>Dewi Lestari</v>
      </c>
      <c r="G100" s="7" t="s">
        <v>1361</v>
      </c>
      <c r="H100" s="7" t="s">
        <v>1365</v>
      </c>
      <c r="I100" s="7">
        <v>2</v>
      </c>
      <c r="J100" s="7" t="str">
        <f>INDEX(Master_Produk!$C$2:$C$11,MATCH(H100,Master_Produk!$A$2:$A$11,0))</f>
        <v>Elektronik</v>
      </c>
      <c r="K100" s="8">
        <f>INDEX(Master_Produk!$E$2:$E$11,MATCH(Data_Transaksi!H100,Master_Produk!$A$2:$A$11,0))</f>
        <v>1800000</v>
      </c>
      <c r="L100" s="8">
        <f t="shared" si="7"/>
        <v>3600000</v>
      </c>
      <c r="M100" s="8">
        <f>INDEX(Master_Target!$B$2:$M$4, MATCH(J100, Master_Target!$A$2:$A$4, 0), MATCH(TEXT(B100, "[$-421]mmmm"), Master_Target!$B$1:$M$1, 0))</f>
        <v>55000000</v>
      </c>
    </row>
    <row r="101" spans="1:13" x14ac:dyDescent="0.25">
      <c r="A101" s="7" t="s">
        <v>110</v>
      </c>
      <c r="B101" s="11" t="s">
        <v>1046</v>
      </c>
      <c r="C101" s="7">
        <f t="shared" si="4"/>
        <v>2</v>
      </c>
      <c r="D101" s="7" t="str">
        <f t="shared" si="5"/>
        <v>Feb</v>
      </c>
      <c r="E101" s="7" t="s">
        <v>1351</v>
      </c>
      <c r="F101" s="7" t="str">
        <f t="shared" si="6"/>
        <v>Siti Rahma</v>
      </c>
      <c r="G101" s="7" t="s">
        <v>1359</v>
      </c>
      <c r="H101" s="7" t="s">
        <v>1368</v>
      </c>
      <c r="I101" s="7">
        <v>4</v>
      </c>
      <c r="J101" s="7" t="str">
        <f>INDEX(Master_Produk!$C$2:$C$11,MATCH(H101,Master_Produk!$A$2:$A$11,0))</f>
        <v>Furnitur</v>
      </c>
      <c r="K101" s="8">
        <f>INDEX(Master_Produk!$E$2:$E$11,MATCH(Data_Transaksi!H101,Master_Produk!$A$2:$A$11,0))</f>
        <v>650000</v>
      </c>
      <c r="L101" s="8">
        <f t="shared" si="7"/>
        <v>2600000</v>
      </c>
      <c r="M101" s="8">
        <f>INDEX(Master_Target!$B$2:$M$4, MATCH(J101, Master_Target!$A$2:$A$4, 0), MATCH(TEXT(B101, "[$-421]mmmm"), Master_Target!$B$1:$M$1, 0))</f>
        <v>22000000</v>
      </c>
    </row>
    <row r="102" spans="1:13" x14ac:dyDescent="0.25">
      <c r="A102" s="7" t="s">
        <v>111</v>
      </c>
      <c r="B102" s="11" t="s">
        <v>1046</v>
      </c>
      <c r="C102" s="7">
        <f t="shared" si="4"/>
        <v>2</v>
      </c>
      <c r="D102" s="7" t="str">
        <f t="shared" si="5"/>
        <v>Feb</v>
      </c>
      <c r="E102" s="7" t="s">
        <v>1350</v>
      </c>
      <c r="F102" s="7" t="str">
        <f t="shared" si="6"/>
        <v>Andi Wijaya</v>
      </c>
      <c r="G102" s="7" t="s">
        <v>1357</v>
      </c>
      <c r="H102" s="7" t="s">
        <v>1367</v>
      </c>
      <c r="I102" s="7">
        <v>3</v>
      </c>
      <c r="J102" s="7" t="str">
        <f>INDEX(Master_Produk!$C$2:$C$11,MATCH(H102,Master_Produk!$A$2:$A$11,0))</f>
        <v>Elektronik</v>
      </c>
      <c r="K102" s="8">
        <f>INDEX(Master_Produk!$E$2:$E$11,MATCH(Data_Transaksi!H102,Master_Produk!$A$2:$A$11,0))</f>
        <v>250000</v>
      </c>
      <c r="L102" s="8">
        <f t="shared" si="7"/>
        <v>750000</v>
      </c>
      <c r="M102" s="8">
        <f>INDEX(Master_Target!$B$2:$M$4, MATCH(J102, Master_Target!$A$2:$A$4, 0), MATCH(TEXT(B102, "[$-421]mmmm"), Master_Target!$B$1:$M$1, 0))</f>
        <v>55000000</v>
      </c>
    </row>
    <row r="103" spans="1:13" x14ac:dyDescent="0.25">
      <c r="A103" s="7" t="s">
        <v>112</v>
      </c>
      <c r="B103" s="11" t="s">
        <v>1046</v>
      </c>
      <c r="C103" s="7">
        <f t="shared" si="4"/>
        <v>2</v>
      </c>
      <c r="D103" s="7" t="str">
        <f t="shared" si="5"/>
        <v>Feb</v>
      </c>
      <c r="E103" s="7" t="s">
        <v>1352</v>
      </c>
      <c r="F103" s="7" t="str">
        <f t="shared" si="6"/>
        <v>Ahmad Fauzi</v>
      </c>
      <c r="G103" s="7" t="s">
        <v>1358</v>
      </c>
      <c r="H103" s="7" t="s">
        <v>1368</v>
      </c>
      <c r="I103" s="7">
        <v>1</v>
      </c>
      <c r="J103" s="7" t="str">
        <f>INDEX(Master_Produk!$C$2:$C$11,MATCH(H103,Master_Produk!$A$2:$A$11,0))</f>
        <v>Furnitur</v>
      </c>
      <c r="K103" s="8">
        <f>INDEX(Master_Produk!$E$2:$E$11,MATCH(Data_Transaksi!H103,Master_Produk!$A$2:$A$11,0))</f>
        <v>650000</v>
      </c>
      <c r="L103" s="8">
        <f t="shared" si="7"/>
        <v>650000</v>
      </c>
      <c r="M103" s="8">
        <f>INDEX(Master_Target!$B$2:$M$4, MATCH(J103, Master_Target!$A$2:$A$4, 0), MATCH(TEXT(B103, "[$-421]mmmm"), Master_Target!$B$1:$M$1, 0))</f>
        <v>22000000</v>
      </c>
    </row>
    <row r="104" spans="1:13" x14ac:dyDescent="0.25">
      <c r="A104" s="7" t="s">
        <v>113</v>
      </c>
      <c r="B104" s="11" t="s">
        <v>1046</v>
      </c>
      <c r="C104" s="7">
        <f t="shared" si="4"/>
        <v>2</v>
      </c>
      <c r="D104" s="7" t="str">
        <f t="shared" si="5"/>
        <v>Feb</v>
      </c>
      <c r="E104" s="7" t="s">
        <v>1352</v>
      </c>
      <c r="F104" s="7" t="str">
        <f t="shared" si="6"/>
        <v>Ahmad Fauzi</v>
      </c>
      <c r="G104" s="7" t="s">
        <v>1360</v>
      </c>
      <c r="H104" s="7" t="s">
        <v>1363</v>
      </c>
      <c r="I104" s="7">
        <v>2</v>
      </c>
      <c r="J104" s="7" t="str">
        <f>INDEX(Master_Produk!$C$2:$C$11,MATCH(H104,Master_Produk!$A$2:$A$11,0))</f>
        <v>Pakaian</v>
      </c>
      <c r="K104" s="8">
        <f>INDEX(Master_Produk!$E$2:$E$11,MATCH(Data_Transaksi!H104,Master_Produk!$A$2:$A$11,0))</f>
        <v>250000</v>
      </c>
      <c r="L104" s="8">
        <f t="shared" si="7"/>
        <v>500000</v>
      </c>
      <c r="M104" s="8">
        <f>INDEX(Master_Target!$B$2:$M$4, MATCH(J104, Master_Target!$A$2:$A$4, 0), MATCH(TEXT(B104, "[$-421]mmmm"), Master_Target!$B$1:$M$1, 0))</f>
        <v>16500000</v>
      </c>
    </row>
    <row r="105" spans="1:13" x14ac:dyDescent="0.25">
      <c r="A105" s="7" t="s">
        <v>114</v>
      </c>
      <c r="B105" s="11" t="s">
        <v>1046</v>
      </c>
      <c r="C105" s="7">
        <f t="shared" si="4"/>
        <v>2</v>
      </c>
      <c r="D105" s="7" t="str">
        <f t="shared" si="5"/>
        <v>Feb</v>
      </c>
      <c r="E105" s="7" t="s">
        <v>1349</v>
      </c>
      <c r="F105" s="7" t="str">
        <f t="shared" si="6"/>
        <v>Dewi Lestari</v>
      </c>
      <c r="G105" s="7" t="s">
        <v>1361</v>
      </c>
      <c r="H105" s="7" t="s">
        <v>1362</v>
      </c>
      <c r="I105" s="7">
        <v>2</v>
      </c>
      <c r="J105" s="7" t="str">
        <f>INDEX(Master_Produk!$C$2:$C$11,MATCH(H105,Master_Produk!$A$2:$A$11,0))</f>
        <v>Pakaian</v>
      </c>
      <c r="K105" s="8">
        <f>INDEX(Master_Produk!$E$2:$E$11,MATCH(Data_Transaksi!H105,Master_Produk!$A$2:$A$11,0))</f>
        <v>350000</v>
      </c>
      <c r="L105" s="8">
        <f t="shared" si="7"/>
        <v>700000</v>
      </c>
      <c r="M105" s="8">
        <f>INDEX(Master_Target!$B$2:$M$4, MATCH(J105, Master_Target!$A$2:$A$4, 0), MATCH(TEXT(B105, "[$-421]mmmm"), Master_Target!$B$1:$M$1, 0))</f>
        <v>16500000</v>
      </c>
    </row>
    <row r="106" spans="1:13" x14ac:dyDescent="0.25">
      <c r="A106" s="7" t="s">
        <v>115</v>
      </c>
      <c r="B106" s="11" t="s">
        <v>1046</v>
      </c>
      <c r="C106" s="7">
        <f t="shared" si="4"/>
        <v>2</v>
      </c>
      <c r="D106" s="7" t="str">
        <f t="shared" si="5"/>
        <v>Feb</v>
      </c>
      <c r="E106" s="7" t="s">
        <v>1353</v>
      </c>
      <c r="F106" s="7" t="str">
        <f t="shared" si="6"/>
        <v>Sari Yuliana</v>
      </c>
      <c r="G106" s="7" t="s">
        <v>1359</v>
      </c>
      <c r="H106" s="7" t="s">
        <v>1362</v>
      </c>
      <c r="I106" s="7">
        <v>2</v>
      </c>
      <c r="J106" s="7" t="str">
        <f>INDEX(Master_Produk!$C$2:$C$11,MATCH(H106,Master_Produk!$A$2:$A$11,0))</f>
        <v>Pakaian</v>
      </c>
      <c r="K106" s="8">
        <f>INDEX(Master_Produk!$E$2:$E$11,MATCH(Data_Transaksi!H106,Master_Produk!$A$2:$A$11,0))</f>
        <v>350000</v>
      </c>
      <c r="L106" s="8">
        <f t="shared" si="7"/>
        <v>700000</v>
      </c>
      <c r="M106" s="8">
        <f>INDEX(Master_Target!$B$2:$M$4, MATCH(J106, Master_Target!$A$2:$A$4, 0), MATCH(TEXT(B106, "[$-421]mmmm"), Master_Target!$B$1:$M$1, 0))</f>
        <v>16500000</v>
      </c>
    </row>
    <row r="107" spans="1:13" x14ac:dyDescent="0.25">
      <c r="A107" s="7" t="s">
        <v>116</v>
      </c>
      <c r="B107" s="11" t="s">
        <v>1046</v>
      </c>
      <c r="C107" s="7">
        <f t="shared" si="4"/>
        <v>2</v>
      </c>
      <c r="D107" s="7" t="str">
        <f t="shared" si="5"/>
        <v>Feb</v>
      </c>
      <c r="E107" s="7" t="s">
        <v>1354</v>
      </c>
      <c r="F107" s="7" t="str">
        <f t="shared" si="6"/>
        <v>Mega Utami</v>
      </c>
      <c r="G107" s="7" t="s">
        <v>1357</v>
      </c>
      <c r="H107" s="7" t="s">
        <v>1369</v>
      </c>
      <c r="I107" s="7">
        <v>3</v>
      </c>
      <c r="J107" s="7" t="str">
        <f>INDEX(Master_Produk!$C$2:$C$11,MATCH(H107,Master_Produk!$A$2:$A$11,0))</f>
        <v>Elektronik</v>
      </c>
      <c r="K107" s="8">
        <f>INDEX(Master_Produk!$E$2:$E$11,MATCH(Data_Transaksi!H107,Master_Produk!$A$2:$A$11,0))</f>
        <v>4500000</v>
      </c>
      <c r="L107" s="8">
        <f t="shared" si="7"/>
        <v>13500000</v>
      </c>
      <c r="M107" s="8">
        <f>INDEX(Master_Target!$B$2:$M$4, MATCH(J107, Master_Target!$A$2:$A$4, 0), MATCH(TEXT(B107, "[$-421]mmmm"), Master_Target!$B$1:$M$1, 0))</f>
        <v>55000000</v>
      </c>
    </row>
    <row r="108" spans="1:13" x14ac:dyDescent="0.25">
      <c r="A108" s="7" t="s">
        <v>117</v>
      </c>
      <c r="B108" s="11" t="s">
        <v>1047</v>
      </c>
      <c r="C108" s="7">
        <f t="shared" si="4"/>
        <v>2</v>
      </c>
      <c r="D108" s="7" t="str">
        <f t="shared" si="5"/>
        <v>Feb</v>
      </c>
      <c r="E108" s="7" t="s">
        <v>1353</v>
      </c>
      <c r="F108" s="7" t="str">
        <f t="shared" si="6"/>
        <v>Sari Yuliana</v>
      </c>
      <c r="G108" s="7" t="s">
        <v>1358</v>
      </c>
      <c r="H108" s="7" t="s">
        <v>1370</v>
      </c>
      <c r="I108" s="7">
        <v>5</v>
      </c>
      <c r="J108" s="7" t="str">
        <f>INDEX(Master_Produk!$C$2:$C$11,MATCH(H108,Master_Produk!$A$2:$A$11,0))</f>
        <v>Furnitur</v>
      </c>
      <c r="K108" s="8">
        <f>INDEX(Master_Produk!$E$2:$E$11,MATCH(Data_Transaksi!H108,Master_Produk!$A$2:$A$11,0))</f>
        <v>1200000</v>
      </c>
      <c r="L108" s="8">
        <f t="shared" si="7"/>
        <v>6000000</v>
      </c>
      <c r="M108" s="8">
        <f>INDEX(Master_Target!$B$2:$M$4, MATCH(J108, Master_Target!$A$2:$A$4, 0), MATCH(TEXT(B108, "[$-421]mmmm"), Master_Target!$B$1:$M$1, 0))</f>
        <v>22000000</v>
      </c>
    </row>
    <row r="109" spans="1:13" x14ac:dyDescent="0.25">
      <c r="A109" s="7" t="s">
        <v>118</v>
      </c>
      <c r="B109" s="11" t="s">
        <v>1048</v>
      </c>
      <c r="C109" s="7">
        <f t="shared" si="4"/>
        <v>2</v>
      </c>
      <c r="D109" s="7" t="str">
        <f t="shared" si="5"/>
        <v>Feb</v>
      </c>
      <c r="E109" s="7" t="s">
        <v>1354</v>
      </c>
      <c r="F109" s="7" t="str">
        <f t="shared" si="6"/>
        <v>Mega Utami</v>
      </c>
      <c r="G109" s="7" t="s">
        <v>1357</v>
      </c>
      <c r="H109" s="7" t="s">
        <v>1369</v>
      </c>
      <c r="I109" s="7">
        <v>4</v>
      </c>
      <c r="J109" s="7" t="str">
        <f>INDEX(Master_Produk!$C$2:$C$11,MATCH(H109,Master_Produk!$A$2:$A$11,0))</f>
        <v>Elektronik</v>
      </c>
      <c r="K109" s="8">
        <f>INDEX(Master_Produk!$E$2:$E$11,MATCH(Data_Transaksi!H109,Master_Produk!$A$2:$A$11,0))</f>
        <v>4500000</v>
      </c>
      <c r="L109" s="8">
        <f t="shared" si="7"/>
        <v>18000000</v>
      </c>
      <c r="M109" s="8">
        <f>INDEX(Master_Target!$B$2:$M$4, MATCH(J109, Master_Target!$A$2:$A$4, 0), MATCH(TEXT(B109, "[$-421]mmmm"), Master_Target!$B$1:$M$1, 0))</f>
        <v>55000000</v>
      </c>
    </row>
    <row r="110" spans="1:13" x14ac:dyDescent="0.25">
      <c r="A110" s="7" t="s">
        <v>119</v>
      </c>
      <c r="B110" s="11" t="s">
        <v>1048</v>
      </c>
      <c r="C110" s="7">
        <f t="shared" si="4"/>
        <v>2</v>
      </c>
      <c r="D110" s="7" t="str">
        <f t="shared" si="5"/>
        <v>Feb</v>
      </c>
      <c r="E110" s="7" t="s">
        <v>1356</v>
      </c>
      <c r="F110" s="7" t="str">
        <f t="shared" si="6"/>
        <v>Eko Prasetyo</v>
      </c>
      <c r="G110" s="7" t="s">
        <v>1359</v>
      </c>
      <c r="H110" s="7" t="s">
        <v>1365</v>
      </c>
      <c r="I110" s="7">
        <v>2</v>
      </c>
      <c r="J110" s="7" t="str">
        <f>INDEX(Master_Produk!$C$2:$C$11,MATCH(H110,Master_Produk!$A$2:$A$11,0))</f>
        <v>Elektronik</v>
      </c>
      <c r="K110" s="8">
        <f>INDEX(Master_Produk!$E$2:$E$11,MATCH(Data_Transaksi!H110,Master_Produk!$A$2:$A$11,0))</f>
        <v>1800000</v>
      </c>
      <c r="L110" s="8">
        <f t="shared" si="7"/>
        <v>3600000</v>
      </c>
      <c r="M110" s="8">
        <f>INDEX(Master_Target!$B$2:$M$4, MATCH(J110, Master_Target!$A$2:$A$4, 0), MATCH(TEXT(B110, "[$-421]mmmm"), Master_Target!$B$1:$M$1, 0))</f>
        <v>55000000</v>
      </c>
    </row>
    <row r="111" spans="1:13" x14ac:dyDescent="0.25">
      <c r="A111" s="7" t="s">
        <v>120</v>
      </c>
      <c r="B111" s="11" t="s">
        <v>1048</v>
      </c>
      <c r="C111" s="7">
        <f t="shared" si="4"/>
        <v>2</v>
      </c>
      <c r="D111" s="7" t="str">
        <f t="shared" si="5"/>
        <v>Feb</v>
      </c>
      <c r="E111" s="7" t="s">
        <v>1350</v>
      </c>
      <c r="F111" s="7" t="str">
        <f t="shared" si="6"/>
        <v>Andi Wijaya</v>
      </c>
      <c r="G111" s="7" t="s">
        <v>1357</v>
      </c>
      <c r="H111" s="7" t="s">
        <v>1371</v>
      </c>
      <c r="I111" s="7">
        <v>1</v>
      </c>
      <c r="J111" s="7" t="str">
        <f>INDEX(Master_Produk!$C$2:$C$11,MATCH(H111,Master_Produk!$A$2:$A$11,0))</f>
        <v>Pakaian</v>
      </c>
      <c r="K111" s="8">
        <f>INDEX(Master_Produk!$E$2:$E$11,MATCH(Data_Transaksi!H111,Master_Produk!$A$2:$A$11,0))</f>
        <v>280000</v>
      </c>
      <c r="L111" s="8">
        <f t="shared" si="7"/>
        <v>280000</v>
      </c>
      <c r="M111" s="8">
        <f>INDEX(Master_Target!$B$2:$M$4, MATCH(J111, Master_Target!$A$2:$A$4, 0), MATCH(TEXT(B111, "[$-421]mmmm"), Master_Target!$B$1:$M$1, 0))</f>
        <v>16500000</v>
      </c>
    </row>
    <row r="112" spans="1:13" x14ac:dyDescent="0.25">
      <c r="A112" s="7" t="s">
        <v>121</v>
      </c>
      <c r="B112" s="11" t="s">
        <v>1049</v>
      </c>
      <c r="C112" s="7">
        <f t="shared" si="4"/>
        <v>2</v>
      </c>
      <c r="D112" s="7" t="str">
        <f t="shared" si="5"/>
        <v>Feb</v>
      </c>
      <c r="E112" s="7" t="s">
        <v>1351</v>
      </c>
      <c r="F112" s="7" t="str">
        <f t="shared" si="6"/>
        <v>Siti Rahma</v>
      </c>
      <c r="G112" s="7" t="s">
        <v>1359</v>
      </c>
      <c r="H112" s="7" t="s">
        <v>1371</v>
      </c>
      <c r="I112" s="7">
        <v>10</v>
      </c>
      <c r="J112" s="7" t="str">
        <f>INDEX(Master_Produk!$C$2:$C$11,MATCH(H112,Master_Produk!$A$2:$A$11,0))</f>
        <v>Pakaian</v>
      </c>
      <c r="K112" s="8">
        <f>INDEX(Master_Produk!$E$2:$E$11,MATCH(Data_Transaksi!H112,Master_Produk!$A$2:$A$11,0))</f>
        <v>280000</v>
      </c>
      <c r="L112" s="8">
        <f t="shared" si="7"/>
        <v>2800000</v>
      </c>
      <c r="M112" s="8">
        <f>INDEX(Master_Target!$B$2:$M$4, MATCH(J112, Master_Target!$A$2:$A$4, 0), MATCH(TEXT(B112, "[$-421]mmmm"), Master_Target!$B$1:$M$1, 0))</f>
        <v>16500000</v>
      </c>
    </row>
    <row r="113" spans="1:13" x14ac:dyDescent="0.25">
      <c r="A113" s="7" t="s">
        <v>122</v>
      </c>
      <c r="B113" s="11" t="s">
        <v>1049</v>
      </c>
      <c r="C113" s="7">
        <f t="shared" si="4"/>
        <v>2</v>
      </c>
      <c r="D113" s="7" t="str">
        <f t="shared" si="5"/>
        <v>Feb</v>
      </c>
      <c r="E113" s="7" t="s">
        <v>1352</v>
      </c>
      <c r="F113" s="7" t="str">
        <f t="shared" si="6"/>
        <v>Ahmad Fauzi</v>
      </c>
      <c r="G113" s="7" t="s">
        <v>1357</v>
      </c>
      <c r="H113" s="7" t="s">
        <v>1368</v>
      </c>
      <c r="I113" s="7">
        <v>3</v>
      </c>
      <c r="J113" s="7" t="str">
        <f>INDEX(Master_Produk!$C$2:$C$11,MATCH(H113,Master_Produk!$A$2:$A$11,0))</f>
        <v>Furnitur</v>
      </c>
      <c r="K113" s="8">
        <f>INDEX(Master_Produk!$E$2:$E$11,MATCH(Data_Transaksi!H113,Master_Produk!$A$2:$A$11,0))</f>
        <v>650000</v>
      </c>
      <c r="L113" s="8">
        <f t="shared" si="7"/>
        <v>1950000</v>
      </c>
      <c r="M113" s="8">
        <f>INDEX(Master_Target!$B$2:$M$4, MATCH(J113, Master_Target!$A$2:$A$4, 0), MATCH(TEXT(B113, "[$-421]mmmm"), Master_Target!$B$1:$M$1, 0))</f>
        <v>22000000</v>
      </c>
    </row>
    <row r="114" spans="1:13" x14ac:dyDescent="0.25">
      <c r="A114" s="7" t="s">
        <v>123</v>
      </c>
      <c r="B114" s="11" t="s">
        <v>1049</v>
      </c>
      <c r="C114" s="7">
        <f t="shared" si="4"/>
        <v>2</v>
      </c>
      <c r="D114" s="7" t="str">
        <f t="shared" si="5"/>
        <v>Feb</v>
      </c>
      <c r="E114" s="7" t="s">
        <v>1355</v>
      </c>
      <c r="F114" s="7" t="str">
        <f t="shared" si="6"/>
        <v>Bambang H.</v>
      </c>
      <c r="G114" s="7" t="s">
        <v>1360</v>
      </c>
      <c r="H114" s="7" t="s">
        <v>1371</v>
      </c>
      <c r="I114" s="7">
        <v>1</v>
      </c>
      <c r="J114" s="7" t="str">
        <f>INDEX(Master_Produk!$C$2:$C$11,MATCH(H114,Master_Produk!$A$2:$A$11,0))</f>
        <v>Pakaian</v>
      </c>
      <c r="K114" s="8">
        <f>INDEX(Master_Produk!$E$2:$E$11,MATCH(Data_Transaksi!H114,Master_Produk!$A$2:$A$11,0))</f>
        <v>280000</v>
      </c>
      <c r="L114" s="8">
        <f t="shared" si="7"/>
        <v>280000</v>
      </c>
      <c r="M114" s="8">
        <f>INDEX(Master_Target!$B$2:$M$4, MATCH(J114, Master_Target!$A$2:$A$4, 0), MATCH(TEXT(B114, "[$-421]mmmm"), Master_Target!$B$1:$M$1, 0))</f>
        <v>16500000</v>
      </c>
    </row>
    <row r="115" spans="1:13" x14ac:dyDescent="0.25">
      <c r="A115" s="7" t="s">
        <v>124</v>
      </c>
      <c r="B115" s="11" t="s">
        <v>1050</v>
      </c>
      <c r="C115" s="7">
        <f t="shared" si="4"/>
        <v>2</v>
      </c>
      <c r="D115" s="7" t="str">
        <f t="shared" si="5"/>
        <v>Feb</v>
      </c>
      <c r="E115" s="7" t="s">
        <v>1347</v>
      </c>
      <c r="F115" s="7" t="str">
        <f t="shared" si="6"/>
        <v>Rina Marlina</v>
      </c>
      <c r="G115" s="7" t="s">
        <v>1359</v>
      </c>
      <c r="H115" s="7" t="s">
        <v>1370</v>
      </c>
      <c r="I115" s="7">
        <v>4</v>
      </c>
      <c r="J115" s="7" t="str">
        <f>INDEX(Master_Produk!$C$2:$C$11,MATCH(H115,Master_Produk!$A$2:$A$11,0))</f>
        <v>Furnitur</v>
      </c>
      <c r="K115" s="8">
        <f>INDEX(Master_Produk!$E$2:$E$11,MATCH(Data_Transaksi!H115,Master_Produk!$A$2:$A$11,0))</f>
        <v>1200000</v>
      </c>
      <c r="L115" s="8">
        <f t="shared" si="7"/>
        <v>4800000</v>
      </c>
      <c r="M115" s="8">
        <f>INDEX(Master_Target!$B$2:$M$4, MATCH(J115, Master_Target!$A$2:$A$4, 0), MATCH(TEXT(B115, "[$-421]mmmm"), Master_Target!$B$1:$M$1, 0))</f>
        <v>22000000</v>
      </c>
    </row>
    <row r="116" spans="1:13" x14ac:dyDescent="0.25">
      <c r="A116" s="7" t="s">
        <v>125</v>
      </c>
      <c r="B116" s="11" t="s">
        <v>1050</v>
      </c>
      <c r="C116" s="7">
        <f t="shared" si="4"/>
        <v>2</v>
      </c>
      <c r="D116" s="7" t="str">
        <f t="shared" si="5"/>
        <v>Feb</v>
      </c>
      <c r="E116" s="7" t="s">
        <v>1348</v>
      </c>
      <c r="F116" s="7" t="str">
        <f t="shared" si="6"/>
        <v>Budi Santoso</v>
      </c>
      <c r="G116" s="7" t="s">
        <v>1359</v>
      </c>
      <c r="H116" s="7" t="s">
        <v>1364</v>
      </c>
      <c r="I116" s="7">
        <v>4</v>
      </c>
      <c r="J116" s="7" t="str">
        <f>INDEX(Master_Produk!$C$2:$C$11,MATCH(H116,Master_Produk!$A$2:$A$11,0))</f>
        <v>Furnitur</v>
      </c>
      <c r="K116" s="8">
        <f>INDEX(Master_Produk!$E$2:$E$11,MATCH(Data_Transaksi!H116,Master_Produk!$A$2:$A$11,0))</f>
        <v>950000</v>
      </c>
      <c r="L116" s="8">
        <f t="shared" si="7"/>
        <v>3800000</v>
      </c>
      <c r="M116" s="8">
        <f>INDEX(Master_Target!$B$2:$M$4, MATCH(J116, Master_Target!$A$2:$A$4, 0), MATCH(TEXT(B116, "[$-421]mmmm"), Master_Target!$B$1:$M$1, 0))</f>
        <v>22000000</v>
      </c>
    </row>
    <row r="117" spans="1:13" x14ac:dyDescent="0.25">
      <c r="A117" s="7" t="s">
        <v>126</v>
      </c>
      <c r="B117" s="11" t="s">
        <v>1051</v>
      </c>
      <c r="C117" s="7">
        <f t="shared" si="4"/>
        <v>2</v>
      </c>
      <c r="D117" s="7" t="str">
        <f t="shared" si="5"/>
        <v>Feb</v>
      </c>
      <c r="E117" s="7" t="s">
        <v>1347</v>
      </c>
      <c r="F117" s="7" t="str">
        <f t="shared" si="6"/>
        <v>Rina Marlina</v>
      </c>
      <c r="G117" s="7" t="s">
        <v>1361</v>
      </c>
      <c r="H117" s="7" t="s">
        <v>1362</v>
      </c>
      <c r="I117" s="7">
        <v>2</v>
      </c>
      <c r="J117" s="7" t="str">
        <f>INDEX(Master_Produk!$C$2:$C$11,MATCH(H117,Master_Produk!$A$2:$A$11,0))</f>
        <v>Pakaian</v>
      </c>
      <c r="K117" s="8">
        <f>INDEX(Master_Produk!$E$2:$E$11,MATCH(Data_Transaksi!H117,Master_Produk!$A$2:$A$11,0))</f>
        <v>350000</v>
      </c>
      <c r="L117" s="8">
        <f t="shared" si="7"/>
        <v>700000</v>
      </c>
      <c r="M117" s="8">
        <f>INDEX(Master_Target!$B$2:$M$4, MATCH(J117, Master_Target!$A$2:$A$4, 0), MATCH(TEXT(B117, "[$-421]mmmm"), Master_Target!$B$1:$M$1, 0))</f>
        <v>16500000</v>
      </c>
    </row>
    <row r="118" spans="1:13" x14ac:dyDescent="0.25">
      <c r="A118" s="7" t="s">
        <v>127</v>
      </c>
      <c r="B118" s="11" t="s">
        <v>1051</v>
      </c>
      <c r="C118" s="7">
        <f t="shared" si="4"/>
        <v>2</v>
      </c>
      <c r="D118" s="7" t="str">
        <f t="shared" si="5"/>
        <v>Feb</v>
      </c>
      <c r="E118" s="7" t="s">
        <v>1351</v>
      </c>
      <c r="F118" s="7" t="str">
        <f t="shared" si="6"/>
        <v>Siti Rahma</v>
      </c>
      <c r="G118" s="7" t="s">
        <v>1360</v>
      </c>
      <c r="H118" s="7" t="s">
        <v>1368</v>
      </c>
      <c r="I118" s="7">
        <v>2</v>
      </c>
      <c r="J118" s="7" t="str">
        <f>INDEX(Master_Produk!$C$2:$C$11,MATCH(H118,Master_Produk!$A$2:$A$11,0))</f>
        <v>Furnitur</v>
      </c>
      <c r="K118" s="8">
        <f>INDEX(Master_Produk!$E$2:$E$11,MATCH(Data_Transaksi!H118,Master_Produk!$A$2:$A$11,0))</f>
        <v>650000</v>
      </c>
      <c r="L118" s="8">
        <f t="shared" si="7"/>
        <v>1300000</v>
      </c>
      <c r="M118" s="8">
        <f>INDEX(Master_Target!$B$2:$M$4, MATCH(J118, Master_Target!$A$2:$A$4, 0), MATCH(TEXT(B118, "[$-421]mmmm"), Master_Target!$B$1:$M$1, 0))</f>
        <v>22000000</v>
      </c>
    </row>
    <row r="119" spans="1:13" x14ac:dyDescent="0.25">
      <c r="A119" s="7" t="s">
        <v>128</v>
      </c>
      <c r="B119" s="11" t="s">
        <v>1051</v>
      </c>
      <c r="C119" s="7">
        <f t="shared" si="4"/>
        <v>2</v>
      </c>
      <c r="D119" s="7" t="str">
        <f t="shared" si="5"/>
        <v>Feb</v>
      </c>
      <c r="E119" s="7" t="s">
        <v>1351</v>
      </c>
      <c r="F119" s="7" t="str">
        <f t="shared" si="6"/>
        <v>Siti Rahma</v>
      </c>
      <c r="G119" s="7" t="s">
        <v>1359</v>
      </c>
      <c r="H119" s="7" t="s">
        <v>1365</v>
      </c>
      <c r="I119" s="7">
        <v>1</v>
      </c>
      <c r="J119" s="7" t="str">
        <f>INDEX(Master_Produk!$C$2:$C$11,MATCH(H119,Master_Produk!$A$2:$A$11,0))</f>
        <v>Elektronik</v>
      </c>
      <c r="K119" s="8">
        <f>INDEX(Master_Produk!$E$2:$E$11,MATCH(Data_Transaksi!H119,Master_Produk!$A$2:$A$11,0))</f>
        <v>1800000</v>
      </c>
      <c r="L119" s="8">
        <f t="shared" si="7"/>
        <v>1800000</v>
      </c>
      <c r="M119" s="8">
        <f>INDEX(Master_Target!$B$2:$M$4, MATCH(J119, Master_Target!$A$2:$A$4, 0), MATCH(TEXT(B119, "[$-421]mmmm"), Master_Target!$B$1:$M$1, 0))</f>
        <v>55000000</v>
      </c>
    </row>
    <row r="120" spans="1:13" x14ac:dyDescent="0.25">
      <c r="A120" s="7" t="s">
        <v>129</v>
      </c>
      <c r="B120" s="11" t="s">
        <v>1051</v>
      </c>
      <c r="C120" s="7">
        <f t="shared" si="4"/>
        <v>2</v>
      </c>
      <c r="D120" s="7" t="str">
        <f t="shared" si="5"/>
        <v>Feb</v>
      </c>
      <c r="E120" s="7" t="s">
        <v>1354</v>
      </c>
      <c r="F120" s="7" t="str">
        <f t="shared" si="6"/>
        <v>Mega Utami</v>
      </c>
      <c r="G120" s="7" t="s">
        <v>1358</v>
      </c>
      <c r="H120" s="7" t="s">
        <v>1368</v>
      </c>
      <c r="I120" s="7">
        <v>1</v>
      </c>
      <c r="J120" s="7" t="str">
        <f>INDEX(Master_Produk!$C$2:$C$11,MATCH(H120,Master_Produk!$A$2:$A$11,0))</f>
        <v>Furnitur</v>
      </c>
      <c r="K120" s="8">
        <f>INDEX(Master_Produk!$E$2:$E$11,MATCH(Data_Transaksi!H120,Master_Produk!$A$2:$A$11,0))</f>
        <v>650000</v>
      </c>
      <c r="L120" s="8">
        <f t="shared" si="7"/>
        <v>650000</v>
      </c>
      <c r="M120" s="8">
        <f>INDEX(Master_Target!$B$2:$M$4, MATCH(J120, Master_Target!$A$2:$A$4, 0), MATCH(TEXT(B120, "[$-421]mmmm"), Master_Target!$B$1:$M$1, 0))</f>
        <v>22000000</v>
      </c>
    </row>
    <row r="121" spans="1:13" x14ac:dyDescent="0.25">
      <c r="A121" s="7" t="s">
        <v>130</v>
      </c>
      <c r="B121" s="11" t="s">
        <v>1052</v>
      </c>
      <c r="C121" s="7">
        <f t="shared" si="4"/>
        <v>2</v>
      </c>
      <c r="D121" s="7" t="str">
        <f t="shared" si="5"/>
        <v>Feb</v>
      </c>
      <c r="E121" s="7" t="s">
        <v>1353</v>
      </c>
      <c r="F121" s="7" t="str">
        <f t="shared" si="6"/>
        <v>Sari Yuliana</v>
      </c>
      <c r="G121" s="7" t="s">
        <v>1357</v>
      </c>
      <c r="H121" s="7" t="s">
        <v>1366</v>
      </c>
      <c r="I121" s="7">
        <v>1</v>
      </c>
      <c r="J121" s="7" t="str">
        <f>INDEX(Master_Produk!$C$2:$C$11,MATCH(H121,Master_Produk!$A$2:$A$11,0))</f>
        <v>Elektronik</v>
      </c>
      <c r="K121" s="8">
        <f>INDEX(Master_Produk!$E$2:$E$11,MATCH(Data_Transaksi!H121,Master_Produk!$A$2:$A$11,0))</f>
        <v>7500000</v>
      </c>
      <c r="L121" s="8">
        <f t="shared" si="7"/>
        <v>7500000</v>
      </c>
      <c r="M121" s="8">
        <f>INDEX(Master_Target!$B$2:$M$4, MATCH(J121, Master_Target!$A$2:$A$4, 0), MATCH(TEXT(B121, "[$-421]mmmm"), Master_Target!$B$1:$M$1, 0))</f>
        <v>55000000</v>
      </c>
    </row>
    <row r="122" spans="1:13" x14ac:dyDescent="0.25">
      <c r="A122" s="7" t="s">
        <v>131</v>
      </c>
      <c r="B122" s="11" t="s">
        <v>1053</v>
      </c>
      <c r="C122" s="7">
        <f t="shared" si="4"/>
        <v>2</v>
      </c>
      <c r="D122" s="7" t="str">
        <f t="shared" si="5"/>
        <v>Feb</v>
      </c>
      <c r="E122" s="7" t="s">
        <v>1347</v>
      </c>
      <c r="F122" s="7" t="str">
        <f t="shared" si="6"/>
        <v>Rina Marlina</v>
      </c>
      <c r="G122" s="7" t="s">
        <v>1358</v>
      </c>
      <c r="H122" s="7" t="s">
        <v>1366</v>
      </c>
      <c r="I122" s="7">
        <v>3</v>
      </c>
      <c r="J122" s="7" t="str">
        <f>INDEX(Master_Produk!$C$2:$C$11,MATCH(H122,Master_Produk!$A$2:$A$11,0))</f>
        <v>Elektronik</v>
      </c>
      <c r="K122" s="8">
        <f>INDEX(Master_Produk!$E$2:$E$11,MATCH(Data_Transaksi!H122,Master_Produk!$A$2:$A$11,0))</f>
        <v>7500000</v>
      </c>
      <c r="L122" s="8">
        <f t="shared" si="7"/>
        <v>22500000</v>
      </c>
      <c r="M122" s="8">
        <f>INDEX(Master_Target!$B$2:$M$4, MATCH(J122, Master_Target!$A$2:$A$4, 0), MATCH(TEXT(B122, "[$-421]mmmm"), Master_Target!$B$1:$M$1, 0))</f>
        <v>55000000</v>
      </c>
    </row>
    <row r="123" spans="1:13" x14ac:dyDescent="0.25">
      <c r="A123" s="7" t="s">
        <v>132</v>
      </c>
      <c r="B123" s="11" t="s">
        <v>1053</v>
      </c>
      <c r="C123" s="7">
        <f t="shared" si="4"/>
        <v>2</v>
      </c>
      <c r="D123" s="7" t="str">
        <f t="shared" si="5"/>
        <v>Feb</v>
      </c>
      <c r="E123" s="7" t="s">
        <v>1354</v>
      </c>
      <c r="F123" s="7" t="str">
        <f t="shared" si="6"/>
        <v>Mega Utami</v>
      </c>
      <c r="G123" s="7" t="s">
        <v>1357</v>
      </c>
      <c r="H123" s="7" t="s">
        <v>1366</v>
      </c>
      <c r="I123" s="7">
        <v>1</v>
      </c>
      <c r="J123" s="7" t="str">
        <f>INDEX(Master_Produk!$C$2:$C$11,MATCH(H123,Master_Produk!$A$2:$A$11,0))</f>
        <v>Elektronik</v>
      </c>
      <c r="K123" s="8">
        <f>INDEX(Master_Produk!$E$2:$E$11,MATCH(Data_Transaksi!H123,Master_Produk!$A$2:$A$11,0))</f>
        <v>7500000</v>
      </c>
      <c r="L123" s="8">
        <f t="shared" si="7"/>
        <v>7500000</v>
      </c>
      <c r="M123" s="8">
        <f>INDEX(Master_Target!$B$2:$M$4, MATCH(J123, Master_Target!$A$2:$A$4, 0), MATCH(TEXT(B123, "[$-421]mmmm"), Master_Target!$B$1:$M$1, 0))</f>
        <v>55000000</v>
      </c>
    </row>
    <row r="124" spans="1:13" x14ac:dyDescent="0.25">
      <c r="A124" s="7" t="s">
        <v>133</v>
      </c>
      <c r="B124" s="11" t="s">
        <v>1053</v>
      </c>
      <c r="C124" s="7">
        <f t="shared" si="4"/>
        <v>2</v>
      </c>
      <c r="D124" s="7" t="str">
        <f t="shared" si="5"/>
        <v>Feb</v>
      </c>
      <c r="E124" s="7" t="s">
        <v>1354</v>
      </c>
      <c r="F124" s="7" t="str">
        <f t="shared" si="6"/>
        <v>Mega Utami</v>
      </c>
      <c r="G124" s="7" t="s">
        <v>1357</v>
      </c>
      <c r="H124" s="7" t="s">
        <v>1370</v>
      </c>
      <c r="I124" s="7">
        <v>1</v>
      </c>
      <c r="J124" s="7" t="str">
        <f>INDEX(Master_Produk!$C$2:$C$11,MATCH(H124,Master_Produk!$A$2:$A$11,0))</f>
        <v>Furnitur</v>
      </c>
      <c r="K124" s="8">
        <f>INDEX(Master_Produk!$E$2:$E$11,MATCH(Data_Transaksi!H124,Master_Produk!$A$2:$A$11,0))</f>
        <v>1200000</v>
      </c>
      <c r="L124" s="8">
        <f t="shared" si="7"/>
        <v>1200000</v>
      </c>
      <c r="M124" s="8">
        <f>INDEX(Master_Target!$B$2:$M$4, MATCH(J124, Master_Target!$A$2:$A$4, 0), MATCH(TEXT(B124, "[$-421]mmmm"), Master_Target!$B$1:$M$1, 0))</f>
        <v>22000000</v>
      </c>
    </row>
    <row r="125" spans="1:13" x14ac:dyDescent="0.25">
      <c r="A125" s="7" t="s">
        <v>134</v>
      </c>
      <c r="B125" s="11" t="s">
        <v>1054</v>
      </c>
      <c r="C125" s="7">
        <f t="shared" si="4"/>
        <v>2</v>
      </c>
      <c r="D125" s="7" t="str">
        <f t="shared" si="5"/>
        <v>Feb</v>
      </c>
      <c r="E125" s="7" t="s">
        <v>1353</v>
      </c>
      <c r="F125" s="7" t="str">
        <f t="shared" si="6"/>
        <v>Sari Yuliana</v>
      </c>
      <c r="G125" s="7" t="s">
        <v>1361</v>
      </c>
      <c r="H125" s="7" t="s">
        <v>1371</v>
      </c>
      <c r="I125" s="7">
        <v>1</v>
      </c>
      <c r="J125" s="7" t="str">
        <f>INDEX(Master_Produk!$C$2:$C$11,MATCH(H125,Master_Produk!$A$2:$A$11,0))</f>
        <v>Pakaian</v>
      </c>
      <c r="K125" s="8">
        <f>INDEX(Master_Produk!$E$2:$E$11,MATCH(Data_Transaksi!H125,Master_Produk!$A$2:$A$11,0))</f>
        <v>280000</v>
      </c>
      <c r="L125" s="8">
        <f t="shared" si="7"/>
        <v>280000</v>
      </c>
      <c r="M125" s="8">
        <f>INDEX(Master_Target!$B$2:$M$4, MATCH(J125, Master_Target!$A$2:$A$4, 0), MATCH(TEXT(B125, "[$-421]mmmm"), Master_Target!$B$1:$M$1, 0))</f>
        <v>16500000</v>
      </c>
    </row>
    <row r="126" spans="1:13" x14ac:dyDescent="0.25">
      <c r="A126" s="7" t="s">
        <v>135</v>
      </c>
      <c r="B126" s="11" t="s">
        <v>1054</v>
      </c>
      <c r="C126" s="7">
        <f t="shared" si="4"/>
        <v>2</v>
      </c>
      <c r="D126" s="7" t="str">
        <f t="shared" si="5"/>
        <v>Feb</v>
      </c>
      <c r="E126" s="7" t="s">
        <v>1355</v>
      </c>
      <c r="F126" s="7" t="str">
        <f t="shared" si="6"/>
        <v>Bambang H.</v>
      </c>
      <c r="G126" s="7" t="s">
        <v>1359</v>
      </c>
      <c r="H126" s="7" t="s">
        <v>1367</v>
      </c>
      <c r="I126" s="7">
        <v>2</v>
      </c>
      <c r="J126" s="7" t="str">
        <f>INDEX(Master_Produk!$C$2:$C$11,MATCH(H126,Master_Produk!$A$2:$A$11,0))</f>
        <v>Elektronik</v>
      </c>
      <c r="K126" s="8">
        <f>INDEX(Master_Produk!$E$2:$E$11,MATCH(Data_Transaksi!H126,Master_Produk!$A$2:$A$11,0))</f>
        <v>250000</v>
      </c>
      <c r="L126" s="8">
        <f t="shared" si="7"/>
        <v>500000</v>
      </c>
      <c r="M126" s="8">
        <f>INDEX(Master_Target!$B$2:$M$4, MATCH(J126, Master_Target!$A$2:$A$4, 0), MATCH(TEXT(B126, "[$-421]mmmm"), Master_Target!$B$1:$M$1, 0))</f>
        <v>55000000</v>
      </c>
    </row>
    <row r="127" spans="1:13" x14ac:dyDescent="0.25">
      <c r="A127" s="7" t="s">
        <v>136</v>
      </c>
      <c r="B127" s="11" t="s">
        <v>1054</v>
      </c>
      <c r="C127" s="7">
        <f t="shared" si="4"/>
        <v>2</v>
      </c>
      <c r="D127" s="7" t="str">
        <f t="shared" si="5"/>
        <v>Feb</v>
      </c>
      <c r="E127" s="7" t="s">
        <v>1352</v>
      </c>
      <c r="F127" s="7" t="str">
        <f t="shared" si="6"/>
        <v>Ahmad Fauzi</v>
      </c>
      <c r="G127" s="7" t="s">
        <v>1357</v>
      </c>
      <c r="H127" s="7" t="s">
        <v>1368</v>
      </c>
      <c r="I127" s="7">
        <v>4</v>
      </c>
      <c r="J127" s="7" t="str">
        <f>INDEX(Master_Produk!$C$2:$C$11,MATCH(H127,Master_Produk!$A$2:$A$11,0))</f>
        <v>Furnitur</v>
      </c>
      <c r="K127" s="8">
        <f>INDEX(Master_Produk!$E$2:$E$11,MATCH(Data_Transaksi!H127,Master_Produk!$A$2:$A$11,0))</f>
        <v>650000</v>
      </c>
      <c r="L127" s="8">
        <f t="shared" si="7"/>
        <v>2600000</v>
      </c>
      <c r="M127" s="8">
        <f>INDEX(Master_Target!$B$2:$M$4, MATCH(J127, Master_Target!$A$2:$A$4, 0), MATCH(TEXT(B127, "[$-421]mmmm"), Master_Target!$B$1:$M$1, 0))</f>
        <v>22000000</v>
      </c>
    </row>
    <row r="128" spans="1:13" x14ac:dyDescent="0.25">
      <c r="A128" s="7" t="s">
        <v>137</v>
      </c>
      <c r="B128" s="11" t="s">
        <v>1054</v>
      </c>
      <c r="C128" s="7">
        <f t="shared" si="4"/>
        <v>2</v>
      </c>
      <c r="D128" s="7" t="str">
        <f t="shared" si="5"/>
        <v>Feb</v>
      </c>
      <c r="E128" s="7" t="s">
        <v>1349</v>
      </c>
      <c r="F128" s="7" t="str">
        <f t="shared" si="6"/>
        <v>Dewi Lestari</v>
      </c>
      <c r="G128" s="7" t="s">
        <v>1361</v>
      </c>
      <c r="H128" s="7" t="s">
        <v>1367</v>
      </c>
      <c r="I128" s="7">
        <v>1</v>
      </c>
      <c r="J128" s="7" t="str">
        <f>INDEX(Master_Produk!$C$2:$C$11,MATCH(H128,Master_Produk!$A$2:$A$11,0))</f>
        <v>Elektronik</v>
      </c>
      <c r="K128" s="8">
        <f>INDEX(Master_Produk!$E$2:$E$11,MATCH(Data_Transaksi!H128,Master_Produk!$A$2:$A$11,0))</f>
        <v>250000</v>
      </c>
      <c r="L128" s="8">
        <f t="shared" si="7"/>
        <v>250000</v>
      </c>
      <c r="M128" s="8">
        <f>INDEX(Master_Target!$B$2:$M$4, MATCH(J128, Master_Target!$A$2:$A$4, 0), MATCH(TEXT(B128, "[$-421]mmmm"), Master_Target!$B$1:$M$1, 0))</f>
        <v>55000000</v>
      </c>
    </row>
    <row r="129" spans="1:13" x14ac:dyDescent="0.25">
      <c r="A129" s="7" t="s">
        <v>138</v>
      </c>
      <c r="B129" s="11" t="s">
        <v>1054</v>
      </c>
      <c r="C129" s="7">
        <f t="shared" si="4"/>
        <v>2</v>
      </c>
      <c r="D129" s="7" t="str">
        <f t="shared" si="5"/>
        <v>Feb</v>
      </c>
      <c r="E129" s="7" t="s">
        <v>1352</v>
      </c>
      <c r="F129" s="7" t="str">
        <f t="shared" si="6"/>
        <v>Ahmad Fauzi</v>
      </c>
      <c r="G129" s="7" t="s">
        <v>1358</v>
      </c>
      <c r="H129" s="7" t="s">
        <v>1370</v>
      </c>
      <c r="I129" s="7">
        <v>1</v>
      </c>
      <c r="J129" s="7" t="str">
        <f>INDEX(Master_Produk!$C$2:$C$11,MATCH(H129,Master_Produk!$A$2:$A$11,0))</f>
        <v>Furnitur</v>
      </c>
      <c r="K129" s="8">
        <f>INDEX(Master_Produk!$E$2:$E$11,MATCH(Data_Transaksi!H129,Master_Produk!$A$2:$A$11,0))</f>
        <v>1200000</v>
      </c>
      <c r="L129" s="8">
        <f t="shared" si="7"/>
        <v>1200000</v>
      </c>
      <c r="M129" s="8">
        <f>INDEX(Master_Target!$B$2:$M$4, MATCH(J129, Master_Target!$A$2:$A$4, 0), MATCH(TEXT(B129, "[$-421]mmmm"), Master_Target!$B$1:$M$1, 0))</f>
        <v>22000000</v>
      </c>
    </row>
    <row r="130" spans="1:13" x14ac:dyDescent="0.25">
      <c r="A130" s="7" t="s">
        <v>139</v>
      </c>
      <c r="B130" s="11" t="s">
        <v>1055</v>
      </c>
      <c r="C130" s="7">
        <f t="shared" si="4"/>
        <v>2</v>
      </c>
      <c r="D130" s="7" t="str">
        <f t="shared" si="5"/>
        <v>Feb</v>
      </c>
      <c r="E130" s="7" t="s">
        <v>1348</v>
      </c>
      <c r="F130" s="7" t="str">
        <f t="shared" si="6"/>
        <v>Budi Santoso</v>
      </c>
      <c r="G130" s="7" t="s">
        <v>1361</v>
      </c>
      <c r="H130" s="7" t="s">
        <v>1362</v>
      </c>
      <c r="I130" s="7">
        <v>3</v>
      </c>
      <c r="J130" s="7" t="str">
        <f>INDEX(Master_Produk!$C$2:$C$11,MATCH(H130,Master_Produk!$A$2:$A$11,0))</f>
        <v>Pakaian</v>
      </c>
      <c r="K130" s="8">
        <f>INDEX(Master_Produk!$E$2:$E$11,MATCH(Data_Transaksi!H130,Master_Produk!$A$2:$A$11,0))</f>
        <v>350000</v>
      </c>
      <c r="L130" s="8">
        <f t="shared" si="7"/>
        <v>1050000</v>
      </c>
      <c r="M130" s="8">
        <f>INDEX(Master_Target!$B$2:$M$4, MATCH(J130, Master_Target!$A$2:$A$4, 0), MATCH(TEXT(B130, "[$-421]mmmm"), Master_Target!$B$1:$M$1, 0))</f>
        <v>16500000</v>
      </c>
    </row>
    <row r="131" spans="1:13" x14ac:dyDescent="0.25">
      <c r="A131" s="7" t="s">
        <v>140</v>
      </c>
      <c r="B131" s="11" t="s">
        <v>1055</v>
      </c>
      <c r="C131" s="7">
        <f t="shared" ref="C131:C194" si="8">MONTH(B131)</f>
        <v>2</v>
      </c>
      <c r="D131" s="7" t="str">
        <f t="shared" ref="D131:D194" si="9">TEXT(B131,"mmm")</f>
        <v>Feb</v>
      </c>
      <c r="E131" s="7" t="s">
        <v>1347</v>
      </c>
      <c r="F131" s="7" t="str">
        <f t="shared" ref="F131:F194" si="10">TRIM(PROPER(E131))</f>
        <v>Rina Marlina</v>
      </c>
      <c r="G131" s="7" t="s">
        <v>1358</v>
      </c>
      <c r="H131" s="7" t="s">
        <v>1368</v>
      </c>
      <c r="I131" s="7">
        <v>2</v>
      </c>
      <c r="J131" s="7" t="str">
        <f>INDEX(Master_Produk!$C$2:$C$11,MATCH(H131,Master_Produk!$A$2:$A$11,0))</f>
        <v>Furnitur</v>
      </c>
      <c r="K131" s="8">
        <f>INDEX(Master_Produk!$E$2:$E$11,MATCH(Data_Transaksi!H131,Master_Produk!$A$2:$A$11,0))</f>
        <v>650000</v>
      </c>
      <c r="L131" s="8">
        <f t="shared" ref="L131:L194" si="11">I131*K131</f>
        <v>1300000</v>
      </c>
      <c r="M131" s="8">
        <f>INDEX(Master_Target!$B$2:$M$4, MATCH(J131, Master_Target!$A$2:$A$4, 0), MATCH(TEXT(B131, "[$-421]mmmm"), Master_Target!$B$1:$M$1, 0))</f>
        <v>22000000</v>
      </c>
    </row>
    <row r="132" spans="1:13" x14ac:dyDescent="0.25">
      <c r="A132" s="7" t="s">
        <v>141</v>
      </c>
      <c r="B132" s="11" t="s">
        <v>1055</v>
      </c>
      <c r="C132" s="7">
        <f t="shared" si="8"/>
        <v>2</v>
      </c>
      <c r="D132" s="7" t="str">
        <f t="shared" si="9"/>
        <v>Feb</v>
      </c>
      <c r="E132" s="7" t="s">
        <v>1352</v>
      </c>
      <c r="F132" s="7" t="str">
        <f t="shared" si="10"/>
        <v>Ahmad Fauzi</v>
      </c>
      <c r="G132" s="7" t="s">
        <v>1359</v>
      </c>
      <c r="H132" s="7" t="s">
        <v>1370</v>
      </c>
      <c r="I132" s="7">
        <v>1</v>
      </c>
      <c r="J132" s="7" t="str">
        <f>INDEX(Master_Produk!$C$2:$C$11,MATCH(H132,Master_Produk!$A$2:$A$11,0))</f>
        <v>Furnitur</v>
      </c>
      <c r="K132" s="8">
        <f>INDEX(Master_Produk!$E$2:$E$11,MATCH(Data_Transaksi!H132,Master_Produk!$A$2:$A$11,0))</f>
        <v>1200000</v>
      </c>
      <c r="L132" s="8">
        <f t="shared" si="11"/>
        <v>1200000</v>
      </c>
      <c r="M132" s="8">
        <f>INDEX(Master_Target!$B$2:$M$4, MATCH(J132, Master_Target!$A$2:$A$4, 0), MATCH(TEXT(B132, "[$-421]mmmm"), Master_Target!$B$1:$M$1, 0))</f>
        <v>22000000</v>
      </c>
    </row>
    <row r="133" spans="1:13" x14ac:dyDescent="0.25">
      <c r="A133" s="7" t="s">
        <v>142</v>
      </c>
      <c r="B133" s="11" t="s">
        <v>1056</v>
      </c>
      <c r="C133" s="7">
        <f t="shared" si="8"/>
        <v>2</v>
      </c>
      <c r="D133" s="7" t="str">
        <f t="shared" si="9"/>
        <v>Feb</v>
      </c>
      <c r="E133" s="7" t="s">
        <v>1349</v>
      </c>
      <c r="F133" s="7" t="str">
        <f t="shared" si="10"/>
        <v>Dewi Lestari</v>
      </c>
      <c r="G133" s="7" t="s">
        <v>1357</v>
      </c>
      <c r="H133" s="7" t="s">
        <v>1371</v>
      </c>
      <c r="I133" s="7">
        <v>2</v>
      </c>
      <c r="J133" s="7" t="str">
        <f>INDEX(Master_Produk!$C$2:$C$11,MATCH(H133,Master_Produk!$A$2:$A$11,0))</f>
        <v>Pakaian</v>
      </c>
      <c r="K133" s="8">
        <f>INDEX(Master_Produk!$E$2:$E$11,MATCH(Data_Transaksi!H133,Master_Produk!$A$2:$A$11,0))</f>
        <v>280000</v>
      </c>
      <c r="L133" s="8">
        <f t="shared" si="11"/>
        <v>560000</v>
      </c>
      <c r="M133" s="8">
        <f>INDEX(Master_Target!$B$2:$M$4, MATCH(J133, Master_Target!$A$2:$A$4, 0), MATCH(TEXT(B133, "[$-421]mmmm"), Master_Target!$B$1:$M$1, 0))</f>
        <v>16500000</v>
      </c>
    </row>
    <row r="134" spans="1:13" x14ac:dyDescent="0.25">
      <c r="A134" s="7" t="s">
        <v>143</v>
      </c>
      <c r="B134" s="11" t="s">
        <v>1056</v>
      </c>
      <c r="C134" s="7">
        <f t="shared" si="8"/>
        <v>2</v>
      </c>
      <c r="D134" s="7" t="str">
        <f t="shared" si="9"/>
        <v>Feb</v>
      </c>
      <c r="E134" s="7" t="s">
        <v>1356</v>
      </c>
      <c r="F134" s="7" t="str">
        <f t="shared" si="10"/>
        <v>Eko Prasetyo</v>
      </c>
      <c r="G134" s="7" t="s">
        <v>1360</v>
      </c>
      <c r="H134" s="7" t="s">
        <v>1362</v>
      </c>
      <c r="I134" s="7">
        <v>1</v>
      </c>
      <c r="J134" s="7" t="str">
        <f>INDEX(Master_Produk!$C$2:$C$11,MATCH(H134,Master_Produk!$A$2:$A$11,0))</f>
        <v>Pakaian</v>
      </c>
      <c r="K134" s="8">
        <f>INDEX(Master_Produk!$E$2:$E$11,MATCH(Data_Transaksi!H134,Master_Produk!$A$2:$A$11,0))</f>
        <v>350000</v>
      </c>
      <c r="L134" s="8">
        <f t="shared" si="11"/>
        <v>350000</v>
      </c>
      <c r="M134" s="8">
        <f>INDEX(Master_Target!$B$2:$M$4, MATCH(J134, Master_Target!$A$2:$A$4, 0), MATCH(TEXT(B134, "[$-421]mmmm"), Master_Target!$B$1:$M$1, 0))</f>
        <v>16500000</v>
      </c>
    </row>
    <row r="135" spans="1:13" x14ac:dyDescent="0.25">
      <c r="A135" s="7" t="s">
        <v>144</v>
      </c>
      <c r="B135" s="11" t="s">
        <v>1057</v>
      </c>
      <c r="C135" s="7">
        <f t="shared" si="8"/>
        <v>2</v>
      </c>
      <c r="D135" s="7" t="str">
        <f t="shared" si="9"/>
        <v>Feb</v>
      </c>
      <c r="E135" s="7" t="s">
        <v>1347</v>
      </c>
      <c r="F135" s="7" t="str">
        <f t="shared" si="10"/>
        <v>Rina Marlina</v>
      </c>
      <c r="G135" s="7" t="s">
        <v>1358</v>
      </c>
      <c r="H135" s="7" t="s">
        <v>1371</v>
      </c>
      <c r="I135" s="7">
        <v>1</v>
      </c>
      <c r="J135" s="7" t="str">
        <f>INDEX(Master_Produk!$C$2:$C$11,MATCH(H135,Master_Produk!$A$2:$A$11,0))</f>
        <v>Pakaian</v>
      </c>
      <c r="K135" s="8">
        <f>INDEX(Master_Produk!$E$2:$E$11,MATCH(Data_Transaksi!H135,Master_Produk!$A$2:$A$11,0))</f>
        <v>280000</v>
      </c>
      <c r="L135" s="8">
        <f t="shared" si="11"/>
        <v>280000</v>
      </c>
      <c r="M135" s="8">
        <f>INDEX(Master_Target!$B$2:$M$4, MATCH(J135, Master_Target!$A$2:$A$4, 0), MATCH(TEXT(B135, "[$-421]mmmm"), Master_Target!$B$1:$M$1, 0))</f>
        <v>16500000</v>
      </c>
    </row>
    <row r="136" spans="1:13" x14ac:dyDescent="0.25">
      <c r="A136" s="7" t="s">
        <v>145</v>
      </c>
      <c r="B136" s="11" t="s">
        <v>1058</v>
      </c>
      <c r="C136" s="7">
        <f t="shared" si="8"/>
        <v>2</v>
      </c>
      <c r="D136" s="7" t="str">
        <f t="shared" si="9"/>
        <v>Feb</v>
      </c>
      <c r="E136" s="7" t="s">
        <v>1349</v>
      </c>
      <c r="F136" s="7" t="str">
        <f t="shared" si="10"/>
        <v>Dewi Lestari</v>
      </c>
      <c r="G136" s="7" t="s">
        <v>1357</v>
      </c>
      <c r="H136" s="7" t="s">
        <v>1370</v>
      </c>
      <c r="I136" s="7">
        <v>2</v>
      </c>
      <c r="J136" s="7" t="str">
        <f>INDEX(Master_Produk!$C$2:$C$11,MATCH(H136,Master_Produk!$A$2:$A$11,0))</f>
        <v>Furnitur</v>
      </c>
      <c r="K136" s="8">
        <f>INDEX(Master_Produk!$E$2:$E$11,MATCH(Data_Transaksi!H136,Master_Produk!$A$2:$A$11,0))</f>
        <v>1200000</v>
      </c>
      <c r="L136" s="8">
        <f t="shared" si="11"/>
        <v>2400000</v>
      </c>
      <c r="M136" s="8">
        <f>INDEX(Master_Target!$B$2:$M$4, MATCH(J136, Master_Target!$A$2:$A$4, 0), MATCH(TEXT(B136, "[$-421]mmmm"), Master_Target!$B$1:$M$1, 0))</f>
        <v>22000000</v>
      </c>
    </row>
    <row r="137" spans="1:13" x14ac:dyDescent="0.25">
      <c r="A137" s="7" t="s">
        <v>146</v>
      </c>
      <c r="B137" s="11" t="s">
        <v>1058</v>
      </c>
      <c r="C137" s="7">
        <f t="shared" si="8"/>
        <v>2</v>
      </c>
      <c r="D137" s="7" t="str">
        <f t="shared" si="9"/>
        <v>Feb</v>
      </c>
      <c r="E137" s="7" t="s">
        <v>1354</v>
      </c>
      <c r="F137" s="7" t="str">
        <f t="shared" si="10"/>
        <v>Mega Utami</v>
      </c>
      <c r="G137" s="7" t="s">
        <v>1360</v>
      </c>
      <c r="H137" s="7" t="s">
        <v>1365</v>
      </c>
      <c r="I137" s="7">
        <v>2</v>
      </c>
      <c r="J137" s="7" t="str">
        <f>INDEX(Master_Produk!$C$2:$C$11,MATCH(H137,Master_Produk!$A$2:$A$11,0))</f>
        <v>Elektronik</v>
      </c>
      <c r="K137" s="8">
        <f>INDEX(Master_Produk!$E$2:$E$11,MATCH(Data_Transaksi!H137,Master_Produk!$A$2:$A$11,0))</f>
        <v>1800000</v>
      </c>
      <c r="L137" s="8">
        <f t="shared" si="11"/>
        <v>3600000</v>
      </c>
      <c r="M137" s="8">
        <f>INDEX(Master_Target!$B$2:$M$4, MATCH(J137, Master_Target!$A$2:$A$4, 0), MATCH(TEXT(B137, "[$-421]mmmm"), Master_Target!$B$1:$M$1, 0))</f>
        <v>55000000</v>
      </c>
    </row>
    <row r="138" spans="1:13" x14ac:dyDescent="0.25">
      <c r="A138" s="7" t="s">
        <v>147</v>
      </c>
      <c r="B138" s="11" t="s">
        <v>1058</v>
      </c>
      <c r="C138" s="7">
        <f t="shared" si="8"/>
        <v>2</v>
      </c>
      <c r="D138" s="7" t="str">
        <f t="shared" si="9"/>
        <v>Feb</v>
      </c>
      <c r="E138" s="7" t="s">
        <v>1351</v>
      </c>
      <c r="F138" s="7" t="str">
        <f t="shared" si="10"/>
        <v>Siti Rahma</v>
      </c>
      <c r="G138" s="7" t="s">
        <v>1360</v>
      </c>
      <c r="H138" s="7" t="s">
        <v>1362</v>
      </c>
      <c r="I138" s="7">
        <v>4</v>
      </c>
      <c r="J138" s="7" t="str">
        <f>INDEX(Master_Produk!$C$2:$C$11,MATCH(H138,Master_Produk!$A$2:$A$11,0))</f>
        <v>Pakaian</v>
      </c>
      <c r="K138" s="8">
        <f>INDEX(Master_Produk!$E$2:$E$11,MATCH(Data_Transaksi!H138,Master_Produk!$A$2:$A$11,0))</f>
        <v>350000</v>
      </c>
      <c r="L138" s="8">
        <f t="shared" si="11"/>
        <v>1400000</v>
      </c>
      <c r="M138" s="8">
        <f>INDEX(Master_Target!$B$2:$M$4, MATCH(J138, Master_Target!$A$2:$A$4, 0), MATCH(TEXT(B138, "[$-421]mmmm"), Master_Target!$B$1:$M$1, 0))</f>
        <v>16500000</v>
      </c>
    </row>
    <row r="139" spans="1:13" x14ac:dyDescent="0.25">
      <c r="A139" s="7" t="s">
        <v>148</v>
      </c>
      <c r="B139" s="11" t="s">
        <v>1058</v>
      </c>
      <c r="C139" s="7">
        <f t="shared" si="8"/>
        <v>2</v>
      </c>
      <c r="D139" s="7" t="str">
        <f t="shared" si="9"/>
        <v>Feb</v>
      </c>
      <c r="E139" s="7" t="s">
        <v>1355</v>
      </c>
      <c r="F139" s="7" t="str">
        <f t="shared" si="10"/>
        <v>Bambang H.</v>
      </c>
      <c r="G139" s="7" t="s">
        <v>1358</v>
      </c>
      <c r="H139" s="7" t="s">
        <v>1363</v>
      </c>
      <c r="I139" s="7">
        <v>1</v>
      </c>
      <c r="J139" s="7" t="str">
        <f>INDEX(Master_Produk!$C$2:$C$11,MATCH(H139,Master_Produk!$A$2:$A$11,0))</f>
        <v>Pakaian</v>
      </c>
      <c r="K139" s="8">
        <f>INDEX(Master_Produk!$E$2:$E$11,MATCH(Data_Transaksi!H139,Master_Produk!$A$2:$A$11,0))</f>
        <v>250000</v>
      </c>
      <c r="L139" s="8">
        <f t="shared" si="11"/>
        <v>250000</v>
      </c>
      <c r="M139" s="8">
        <f>INDEX(Master_Target!$B$2:$M$4, MATCH(J139, Master_Target!$A$2:$A$4, 0), MATCH(TEXT(B139, "[$-421]mmmm"), Master_Target!$B$1:$M$1, 0))</f>
        <v>16500000</v>
      </c>
    </row>
    <row r="140" spans="1:13" x14ac:dyDescent="0.25">
      <c r="A140" s="7" t="s">
        <v>149</v>
      </c>
      <c r="B140" s="11" t="s">
        <v>1058</v>
      </c>
      <c r="C140" s="7">
        <f t="shared" si="8"/>
        <v>2</v>
      </c>
      <c r="D140" s="7" t="str">
        <f t="shared" si="9"/>
        <v>Feb</v>
      </c>
      <c r="E140" s="7" t="s">
        <v>1348</v>
      </c>
      <c r="F140" s="7" t="str">
        <f t="shared" si="10"/>
        <v>Budi Santoso</v>
      </c>
      <c r="G140" s="7" t="s">
        <v>1357</v>
      </c>
      <c r="H140" s="7" t="s">
        <v>1362</v>
      </c>
      <c r="I140" s="7">
        <v>2</v>
      </c>
      <c r="J140" s="7" t="str">
        <f>INDEX(Master_Produk!$C$2:$C$11,MATCH(H140,Master_Produk!$A$2:$A$11,0))</f>
        <v>Pakaian</v>
      </c>
      <c r="K140" s="8">
        <f>INDEX(Master_Produk!$E$2:$E$11,MATCH(Data_Transaksi!H140,Master_Produk!$A$2:$A$11,0))</f>
        <v>350000</v>
      </c>
      <c r="L140" s="8">
        <f t="shared" si="11"/>
        <v>700000</v>
      </c>
      <c r="M140" s="8">
        <f>INDEX(Master_Target!$B$2:$M$4, MATCH(J140, Master_Target!$A$2:$A$4, 0), MATCH(TEXT(B140, "[$-421]mmmm"), Master_Target!$B$1:$M$1, 0))</f>
        <v>16500000</v>
      </c>
    </row>
    <row r="141" spans="1:13" x14ac:dyDescent="0.25">
      <c r="A141" s="7" t="s">
        <v>150</v>
      </c>
      <c r="B141" s="11" t="s">
        <v>1058</v>
      </c>
      <c r="C141" s="7">
        <f t="shared" si="8"/>
        <v>2</v>
      </c>
      <c r="D141" s="7" t="str">
        <f t="shared" si="9"/>
        <v>Feb</v>
      </c>
      <c r="E141" s="7" t="s">
        <v>1349</v>
      </c>
      <c r="F141" s="7" t="str">
        <f t="shared" si="10"/>
        <v>Dewi Lestari</v>
      </c>
      <c r="G141" s="7" t="s">
        <v>1360</v>
      </c>
      <c r="H141" s="7" t="s">
        <v>1371</v>
      </c>
      <c r="I141" s="7">
        <v>2</v>
      </c>
      <c r="J141" s="7" t="str">
        <f>INDEX(Master_Produk!$C$2:$C$11,MATCH(H141,Master_Produk!$A$2:$A$11,0))</f>
        <v>Pakaian</v>
      </c>
      <c r="K141" s="8">
        <f>INDEX(Master_Produk!$E$2:$E$11,MATCH(Data_Transaksi!H141,Master_Produk!$A$2:$A$11,0))</f>
        <v>280000</v>
      </c>
      <c r="L141" s="8">
        <f t="shared" si="11"/>
        <v>560000</v>
      </c>
      <c r="M141" s="8">
        <f>INDEX(Master_Target!$B$2:$M$4, MATCH(J141, Master_Target!$A$2:$A$4, 0), MATCH(TEXT(B141, "[$-421]mmmm"), Master_Target!$B$1:$M$1, 0))</f>
        <v>16500000</v>
      </c>
    </row>
    <row r="142" spans="1:13" x14ac:dyDescent="0.25">
      <c r="A142" s="7" t="s">
        <v>151</v>
      </c>
      <c r="B142" s="11" t="s">
        <v>1059</v>
      </c>
      <c r="C142" s="7">
        <f t="shared" si="8"/>
        <v>2</v>
      </c>
      <c r="D142" s="7" t="str">
        <f t="shared" si="9"/>
        <v>Feb</v>
      </c>
      <c r="E142" s="7" t="s">
        <v>1352</v>
      </c>
      <c r="F142" s="7" t="str">
        <f t="shared" si="10"/>
        <v>Ahmad Fauzi</v>
      </c>
      <c r="G142" s="7" t="s">
        <v>1361</v>
      </c>
      <c r="H142" s="7" t="s">
        <v>1368</v>
      </c>
      <c r="I142" s="7">
        <v>1</v>
      </c>
      <c r="J142" s="7" t="str">
        <f>INDEX(Master_Produk!$C$2:$C$11,MATCH(H142,Master_Produk!$A$2:$A$11,0))</f>
        <v>Furnitur</v>
      </c>
      <c r="K142" s="8">
        <f>INDEX(Master_Produk!$E$2:$E$11,MATCH(Data_Transaksi!H142,Master_Produk!$A$2:$A$11,0))</f>
        <v>650000</v>
      </c>
      <c r="L142" s="8">
        <f t="shared" si="11"/>
        <v>650000</v>
      </c>
      <c r="M142" s="8">
        <f>INDEX(Master_Target!$B$2:$M$4, MATCH(J142, Master_Target!$A$2:$A$4, 0), MATCH(TEXT(B142, "[$-421]mmmm"), Master_Target!$B$1:$M$1, 0))</f>
        <v>22000000</v>
      </c>
    </row>
    <row r="143" spans="1:13" x14ac:dyDescent="0.25">
      <c r="A143" s="7" t="s">
        <v>152</v>
      </c>
      <c r="B143" s="11" t="s">
        <v>1059</v>
      </c>
      <c r="C143" s="7">
        <f t="shared" si="8"/>
        <v>2</v>
      </c>
      <c r="D143" s="7" t="str">
        <f t="shared" si="9"/>
        <v>Feb</v>
      </c>
      <c r="E143" s="7" t="s">
        <v>1351</v>
      </c>
      <c r="F143" s="7" t="str">
        <f t="shared" si="10"/>
        <v>Siti Rahma</v>
      </c>
      <c r="G143" s="7" t="s">
        <v>1361</v>
      </c>
      <c r="H143" s="7" t="s">
        <v>1368</v>
      </c>
      <c r="I143" s="7">
        <v>2</v>
      </c>
      <c r="J143" s="7" t="str">
        <f>INDEX(Master_Produk!$C$2:$C$11,MATCH(H143,Master_Produk!$A$2:$A$11,0))</f>
        <v>Furnitur</v>
      </c>
      <c r="K143" s="8">
        <f>INDEX(Master_Produk!$E$2:$E$11,MATCH(Data_Transaksi!H143,Master_Produk!$A$2:$A$11,0))</f>
        <v>650000</v>
      </c>
      <c r="L143" s="8">
        <f t="shared" si="11"/>
        <v>1300000</v>
      </c>
      <c r="M143" s="8">
        <f>INDEX(Master_Target!$B$2:$M$4, MATCH(J143, Master_Target!$A$2:$A$4, 0), MATCH(TEXT(B143, "[$-421]mmmm"), Master_Target!$B$1:$M$1, 0))</f>
        <v>22000000</v>
      </c>
    </row>
    <row r="144" spans="1:13" x14ac:dyDescent="0.25">
      <c r="A144" s="7" t="s">
        <v>153</v>
      </c>
      <c r="B144" s="11" t="s">
        <v>1059</v>
      </c>
      <c r="C144" s="7">
        <f t="shared" si="8"/>
        <v>2</v>
      </c>
      <c r="D144" s="7" t="str">
        <f t="shared" si="9"/>
        <v>Feb</v>
      </c>
      <c r="E144" s="7" t="s">
        <v>1352</v>
      </c>
      <c r="F144" s="7" t="str">
        <f t="shared" si="10"/>
        <v>Ahmad Fauzi</v>
      </c>
      <c r="G144" s="7" t="s">
        <v>1357</v>
      </c>
      <c r="H144" s="7" t="s">
        <v>1368</v>
      </c>
      <c r="I144" s="7">
        <v>1</v>
      </c>
      <c r="J144" s="7" t="str">
        <f>INDEX(Master_Produk!$C$2:$C$11,MATCH(H144,Master_Produk!$A$2:$A$11,0))</f>
        <v>Furnitur</v>
      </c>
      <c r="K144" s="8">
        <f>INDEX(Master_Produk!$E$2:$E$11,MATCH(Data_Transaksi!H144,Master_Produk!$A$2:$A$11,0))</f>
        <v>650000</v>
      </c>
      <c r="L144" s="8">
        <f t="shared" si="11"/>
        <v>650000</v>
      </c>
      <c r="M144" s="8">
        <f>INDEX(Master_Target!$B$2:$M$4, MATCH(J144, Master_Target!$A$2:$A$4, 0), MATCH(TEXT(B144, "[$-421]mmmm"), Master_Target!$B$1:$M$1, 0))</f>
        <v>22000000</v>
      </c>
    </row>
    <row r="145" spans="1:13" x14ac:dyDescent="0.25">
      <c r="A145" s="7" t="s">
        <v>154</v>
      </c>
      <c r="B145" s="11" t="s">
        <v>1060</v>
      </c>
      <c r="C145" s="7">
        <f t="shared" si="8"/>
        <v>2</v>
      </c>
      <c r="D145" s="7" t="str">
        <f t="shared" si="9"/>
        <v>Feb</v>
      </c>
      <c r="E145" s="7" t="s">
        <v>1347</v>
      </c>
      <c r="F145" s="7" t="str">
        <f t="shared" si="10"/>
        <v>Rina Marlina</v>
      </c>
      <c r="G145" s="7" t="s">
        <v>1359</v>
      </c>
      <c r="H145" s="7" t="s">
        <v>1367</v>
      </c>
      <c r="I145" s="7">
        <v>5</v>
      </c>
      <c r="J145" s="7" t="str">
        <f>INDEX(Master_Produk!$C$2:$C$11,MATCH(H145,Master_Produk!$A$2:$A$11,0))</f>
        <v>Elektronik</v>
      </c>
      <c r="K145" s="8">
        <f>INDEX(Master_Produk!$E$2:$E$11,MATCH(Data_Transaksi!H145,Master_Produk!$A$2:$A$11,0))</f>
        <v>250000</v>
      </c>
      <c r="L145" s="8">
        <f t="shared" si="11"/>
        <v>1250000</v>
      </c>
      <c r="M145" s="8">
        <f>INDEX(Master_Target!$B$2:$M$4, MATCH(J145, Master_Target!$A$2:$A$4, 0), MATCH(TEXT(B145, "[$-421]mmmm"), Master_Target!$B$1:$M$1, 0))</f>
        <v>55000000</v>
      </c>
    </row>
    <row r="146" spans="1:13" x14ac:dyDescent="0.25">
      <c r="A146" s="7" t="s">
        <v>155</v>
      </c>
      <c r="B146" s="11" t="s">
        <v>1060</v>
      </c>
      <c r="C146" s="7">
        <f t="shared" si="8"/>
        <v>2</v>
      </c>
      <c r="D146" s="7" t="str">
        <f t="shared" si="9"/>
        <v>Feb</v>
      </c>
      <c r="E146" s="7" t="s">
        <v>1349</v>
      </c>
      <c r="F146" s="7" t="str">
        <f t="shared" si="10"/>
        <v>Dewi Lestari</v>
      </c>
      <c r="G146" s="7" t="s">
        <v>1361</v>
      </c>
      <c r="H146" s="7" t="s">
        <v>1362</v>
      </c>
      <c r="I146" s="7">
        <v>1</v>
      </c>
      <c r="J146" s="7" t="str">
        <f>INDEX(Master_Produk!$C$2:$C$11,MATCH(H146,Master_Produk!$A$2:$A$11,0))</f>
        <v>Pakaian</v>
      </c>
      <c r="K146" s="8">
        <f>INDEX(Master_Produk!$E$2:$E$11,MATCH(Data_Transaksi!H146,Master_Produk!$A$2:$A$11,0))</f>
        <v>350000</v>
      </c>
      <c r="L146" s="8">
        <f t="shared" si="11"/>
        <v>350000</v>
      </c>
      <c r="M146" s="8">
        <f>INDEX(Master_Target!$B$2:$M$4, MATCH(J146, Master_Target!$A$2:$A$4, 0), MATCH(TEXT(B146, "[$-421]mmmm"), Master_Target!$B$1:$M$1, 0))</f>
        <v>16500000</v>
      </c>
    </row>
    <row r="147" spans="1:13" x14ac:dyDescent="0.25">
      <c r="A147" s="7" t="s">
        <v>156</v>
      </c>
      <c r="B147" s="11" t="s">
        <v>1060</v>
      </c>
      <c r="C147" s="7">
        <f t="shared" si="8"/>
        <v>2</v>
      </c>
      <c r="D147" s="7" t="str">
        <f t="shared" si="9"/>
        <v>Feb</v>
      </c>
      <c r="E147" s="7" t="s">
        <v>1352</v>
      </c>
      <c r="F147" s="7" t="str">
        <f t="shared" si="10"/>
        <v>Ahmad Fauzi</v>
      </c>
      <c r="G147" s="7" t="s">
        <v>1358</v>
      </c>
      <c r="H147" s="7" t="s">
        <v>1363</v>
      </c>
      <c r="I147" s="7">
        <v>2</v>
      </c>
      <c r="J147" s="7" t="str">
        <f>INDEX(Master_Produk!$C$2:$C$11,MATCH(H147,Master_Produk!$A$2:$A$11,0))</f>
        <v>Pakaian</v>
      </c>
      <c r="K147" s="8">
        <f>INDEX(Master_Produk!$E$2:$E$11,MATCH(Data_Transaksi!H147,Master_Produk!$A$2:$A$11,0))</f>
        <v>250000</v>
      </c>
      <c r="L147" s="8">
        <f t="shared" si="11"/>
        <v>500000</v>
      </c>
      <c r="M147" s="8">
        <f>INDEX(Master_Target!$B$2:$M$4, MATCH(J147, Master_Target!$A$2:$A$4, 0), MATCH(TEXT(B147, "[$-421]mmmm"), Master_Target!$B$1:$M$1, 0))</f>
        <v>16500000</v>
      </c>
    </row>
    <row r="148" spans="1:13" x14ac:dyDescent="0.25">
      <c r="A148" s="7" t="s">
        <v>157</v>
      </c>
      <c r="B148" s="11" t="s">
        <v>1060</v>
      </c>
      <c r="C148" s="7">
        <f t="shared" si="8"/>
        <v>2</v>
      </c>
      <c r="D148" s="7" t="str">
        <f t="shared" si="9"/>
        <v>Feb</v>
      </c>
      <c r="E148" s="7" t="s">
        <v>1353</v>
      </c>
      <c r="F148" s="7" t="str">
        <f t="shared" si="10"/>
        <v>Sari Yuliana</v>
      </c>
      <c r="G148" s="7" t="s">
        <v>1357</v>
      </c>
      <c r="H148" s="7" t="s">
        <v>1367</v>
      </c>
      <c r="I148" s="7">
        <v>1</v>
      </c>
      <c r="J148" s="7" t="str">
        <f>INDEX(Master_Produk!$C$2:$C$11,MATCH(H148,Master_Produk!$A$2:$A$11,0))</f>
        <v>Elektronik</v>
      </c>
      <c r="K148" s="8">
        <f>INDEX(Master_Produk!$E$2:$E$11,MATCH(Data_Transaksi!H148,Master_Produk!$A$2:$A$11,0))</f>
        <v>250000</v>
      </c>
      <c r="L148" s="8">
        <f t="shared" si="11"/>
        <v>250000</v>
      </c>
      <c r="M148" s="8">
        <f>INDEX(Master_Target!$B$2:$M$4, MATCH(J148, Master_Target!$A$2:$A$4, 0), MATCH(TEXT(B148, "[$-421]mmmm"), Master_Target!$B$1:$M$1, 0))</f>
        <v>55000000</v>
      </c>
    </row>
    <row r="149" spans="1:13" x14ac:dyDescent="0.25">
      <c r="A149" s="7" t="s">
        <v>158</v>
      </c>
      <c r="B149" s="11" t="s">
        <v>1060</v>
      </c>
      <c r="C149" s="7">
        <f t="shared" si="8"/>
        <v>2</v>
      </c>
      <c r="D149" s="7" t="str">
        <f t="shared" si="9"/>
        <v>Feb</v>
      </c>
      <c r="E149" s="7" t="s">
        <v>1350</v>
      </c>
      <c r="F149" s="7" t="str">
        <f t="shared" si="10"/>
        <v>Andi Wijaya</v>
      </c>
      <c r="G149" s="7" t="s">
        <v>1360</v>
      </c>
      <c r="H149" s="7" t="s">
        <v>1366</v>
      </c>
      <c r="I149" s="7">
        <v>10</v>
      </c>
      <c r="J149" s="7" t="str">
        <f>INDEX(Master_Produk!$C$2:$C$11,MATCH(H149,Master_Produk!$A$2:$A$11,0))</f>
        <v>Elektronik</v>
      </c>
      <c r="K149" s="8">
        <f>INDEX(Master_Produk!$E$2:$E$11,MATCH(Data_Transaksi!H149,Master_Produk!$A$2:$A$11,0))</f>
        <v>7500000</v>
      </c>
      <c r="L149" s="8">
        <f t="shared" si="11"/>
        <v>75000000</v>
      </c>
      <c r="M149" s="8">
        <f>INDEX(Master_Target!$B$2:$M$4, MATCH(J149, Master_Target!$A$2:$A$4, 0), MATCH(TEXT(B149, "[$-421]mmmm"), Master_Target!$B$1:$M$1, 0))</f>
        <v>55000000</v>
      </c>
    </row>
    <row r="150" spans="1:13" x14ac:dyDescent="0.25">
      <c r="A150" s="7" t="s">
        <v>159</v>
      </c>
      <c r="B150" s="11" t="s">
        <v>1060</v>
      </c>
      <c r="C150" s="7">
        <f t="shared" si="8"/>
        <v>2</v>
      </c>
      <c r="D150" s="7" t="str">
        <f t="shared" si="9"/>
        <v>Feb</v>
      </c>
      <c r="E150" s="7" t="s">
        <v>1351</v>
      </c>
      <c r="F150" s="7" t="str">
        <f t="shared" si="10"/>
        <v>Siti Rahma</v>
      </c>
      <c r="G150" s="7" t="s">
        <v>1361</v>
      </c>
      <c r="H150" s="7" t="s">
        <v>1371</v>
      </c>
      <c r="I150" s="7">
        <v>2</v>
      </c>
      <c r="J150" s="7" t="str">
        <f>INDEX(Master_Produk!$C$2:$C$11,MATCH(H150,Master_Produk!$A$2:$A$11,0))</f>
        <v>Pakaian</v>
      </c>
      <c r="K150" s="8">
        <f>INDEX(Master_Produk!$E$2:$E$11,MATCH(Data_Transaksi!H150,Master_Produk!$A$2:$A$11,0))</f>
        <v>280000</v>
      </c>
      <c r="L150" s="8">
        <f t="shared" si="11"/>
        <v>560000</v>
      </c>
      <c r="M150" s="8">
        <f>INDEX(Master_Target!$B$2:$M$4, MATCH(J150, Master_Target!$A$2:$A$4, 0), MATCH(TEXT(B150, "[$-421]mmmm"), Master_Target!$B$1:$M$1, 0))</f>
        <v>16500000</v>
      </c>
    </row>
    <row r="151" spans="1:13" x14ac:dyDescent="0.25">
      <c r="A151" s="7" t="s">
        <v>160</v>
      </c>
      <c r="B151" s="11" t="s">
        <v>1060</v>
      </c>
      <c r="C151" s="7">
        <f t="shared" si="8"/>
        <v>2</v>
      </c>
      <c r="D151" s="7" t="str">
        <f t="shared" si="9"/>
        <v>Feb</v>
      </c>
      <c r="E151" s="7" t="s">
        <v>1356</v>
      </c>
      <c r="F151" s="7" t="str">
        <f t="shared" si="10"/>
        <v>Eko Prasetyo</v>
      </c>
      <c r="G151" s="7" t="s">
        <v>1357</v>
      </c>
      <c r="H151" s="7" t="s">
        <v>1371</v>
      </c>
      <c r="I151" s="7">
        <v>2</v>
      </c>
      <c r="J151" s="7" t="str">
        <f>INDEX(Master_Produk!$C$2:$C$11,MATCH(H151,Master_Produk!$A$2:$A$11,0))</f>
        <v>Pakaian</v>
      </c>
      <c r="K151" s="8">
        <f>INDEX(Master_Produk!$E$2:$E$11,MATCH(Data_Transaksi!H151,Master_Produk!$A$2:$A$11,0))</f>
        <v>280000</v>
      </c>
      <c r="L151" s="8">
        <f t="shared" si="11"/>
        <v>560000</v>
      </c>
      <c r="M151" s="8">
        <f>INDEX(Master_Target!$B$2:$M$4, MATCH(J151, Master_Target!$A$2:$A$4, 0), MATCH(TEXT(B151, "[$-421]mmmm"), Master_Target!$B$1:$M$1, 0))</f>
        <v>16500000</v>
      </c>
    </row>
    <row r="152" spans="1:13" x14ac:dyDescent="0.25">
      <c r="A152" s="7" t="s">
        <v>161</v>
      </c>
      <c r="B152" s="11" t="s">
        <v>1061</v>
      </c>
      <c r="C152" s="7">
        <f t="shared" si="8"/>
        <v>2</v>
      </c>
      <c r="D152" s="7" t="str">
        <f t="shared" si="9"/>
        <v>Feb</v>
      </c>
      <c r="E152" s="7" t="s">
        <v>1351</v>
      </c>
      <c r="F152" s="7" t="str">
        <f t="shared" si="10"/>
        <v>Siti Rahma</v>
      </c>
      <c r="G152" s="7" t="s">
        <v>1357</v>
      </c>
      <c r="H152" s="7" t="s">
        <v>1369</v>
      </c>
      <c r="I152" s="7">
        <v>1</v>
      </c>
      <c r="J152" s="7" t="str">
        <f>INDEX(Master_Produk!$C$2:$C$11,MATCH(H152,Master_Produk!$A$2:$A$11,0))</f>
        <v>Elektronik</v>
      </c>
      <c r="K152" s="8">
        <f>INDEX(Master_Produk!$E$2:$E$11,MATCH(Data_Transaksi!H152,Master_Produk!$A$2:$A$11,0))</f>
        <v>4500000</v>
      </c>
      <c r="L152" s="8">
        <f t="shared" si="11"/>
        <v>4500000</v>
      </c>
      <c r="M152" s="8">
        <f>INDEX(Master_Target!$B$2:$M$4, MATCH(J152, Master_Target!$A$2:$A$4, 0), MATCH(TEXT(B152, "[$-421]mmmm"), Master_Target!$B$1:$M$1, 0))</f>
        <v>55000000</v>
      </c>
    </row>
    <row r="153" spans="1:13" x14ac:dyDescent="0.25">
      <c r="A153" s="7" t="s">
        <v>162</v>
      </c>
      <c r="B153" s="11" t="s">
        <v>1061</v>
      </c>
      <c r="C153" s="7">
        <f t="shared" si="8"/>
        <v>2</v>
      </c>
      <c r="D153" s="7" t="str">
        <f t="shared" si="9"/>
        <v>Feb</v>
      </c>
      <c r="E153" s="7" t="s">
        <v>1352</v>
      </c>
      <c r="F153" s="7" t="str">
        <f t="shared" si="10"/>
        <v>Ahmad Fauzi</v>
      </c>
      <c r="G153" s="7" t="s">
        <v>1359</v>
      </c>
      <c r="H153" s="7" t="s">
        <v>1365</v>
      </c>
      <c r="I153" s="7">
        <v>3</v>
      </c>
      <c r="J153" s="7" t="str">
        <f>INDEX(Master_Produk!$C$2:$C$11,MATCH(H153,Master_Produk!$A$2:$A$11,0))</f>
        <v>Elektronik</v>
      </c>
      <c r="K153" s="8">
        <f>INDEX(Master_Produk!$E$2:$E$11,MATCH(Data_Transaksi!H153,Master_Produk!$A$2:$A$11,0))</f>
        <v>1800000</v>
      </c>
      <c r="L153" s="8">
        <f t="shared" si="11"/>
        <v>5400000</v>
      </c>
      <c r="M153" s="8">
        <f>INDEX(Master_Target!$B$2:$M$4, MATCH(J153, Master_Target!$A$2:$A$4, 0), MATCH(TEXT(B153, "[$-421]mmmm"), Master_Target!$B$1:$M$1, 0))</f>
        <v>55000000</v>
      </c>
    </row>
    <row r="154" spans="1:13" x14ac:dyDescent="0.25">
      <c r="A154" s="7" t="s">
        <v>163</v>
      </c>
      <c r="B154" s="11" t="s">
        <v>1061</v>
      </c>
      <c r="C154" s="7">
        <f t="shared" si="8"/>
        <v>2</v>
      </c>
      <c r="D154" s="7" t="str">
        <f t="shared" si="9"/>
        <v>Feb</v>
      </c>
      <c r="E154" s="7" t="s">
        <v>1352</v>
      </c>
      <c r="F154" s="7" t="str">
        <f t="shared" si="10"/>
        <v>Ahmad Fauzi</v>
      </c>
      <c r="G154" s="7" t="s">
        <v>1360</v>
      </c>
      <c r="H154" s="7" t="s">
        <v>1362</v>
      </c>
      <c r="I154" s="7">
        <v>1</v>
      </c>
      <c r="J154" s="7" t="str">
        <f>INDEX(Master_Produk!$C$2:$C$11,MATCH(H154,Master_Produk!$A$2:$A$11,0))</f>
        <v>Pakaian</v>
      </c>
      <c r="K154" s="8">
        <f>INDEX(Master_Produk!$E$2:$E$11,MATCH(Data_Transaksi!H154,Master_Produk!$A$2:$A$11,0))</f>
        <v>350000</v>
      </c>
      <c r="L154" s="8">
        <f t="shared" si="11"/>
        <v>350000</v>
      </c>
      <c r="M154" s="8">
        <f>INDEX(Master_Target!$B$2:$M$4, MATCH(J154, Master_Target!$A$2:$A$4, 0), MATCH(TEXT(B154, "[$-421]mmmm"), Master_Target!$B$1:$M$1, 0))</f>
        <v>16500000</v>
      </c>
    </row>
    <row r="155" spans="1:13" x14ac:dyDescent="0.25">
      <c r="A155" s="7" t="s">
        <v>164</v>
      </c>
      <c r="B155" s="11" t="s">
        <v>1061</v>
      </c>
      <c r="C155" s="7">
        <f t="shared" si="8"/>
        <v>2</v>
      </c>
      <c r="D155" s="7" t="str">
        <f t="shared" si="9"/>
        <v>Feb</v>
      </c>
      <c r="E155" s="7" t="s">
        <v>1348</v>
      </c>
      <c r="F155" s="7" t="str">
        <f t="shared" si="10"/>
        <v>Budi Santoso</v>
      </c>
      <c r="G155" s="7" t="s">
        <v>1360</v>
      </c>
      <c r="H155" s="7" t="s">
        <v>1363</v>
      </c>
      <c r="I155" s="7">
        <v>4</v>
      </c>
      <c r="J155" s="7" t="str">
        <f>INDEX(Master_Produk!$C$2:$C$11,MATCH(H155,Master_Produk!$A$2:$A$11,0))</f>
        <v>Pakaian</v>
      </c>
      <c r="K155" s="8">
        <f>INDEX(Master_Produk!$E$2:$E$11,MATCH(Data_Transaksi!H155,Master_Produk!$A$2:$A$11,0))</f>
        <v>250000</v>
      </c>
      <c r="L155" s="8">
        <f t="shared" si="11"/>
        <v>1000000</v>
      </c>
      <c r="M155" s="8">
        <f>INDEX(Master_Target!$B$2:$M$4, MATCH(J155, Master_Target!$A$2:$A$4, 0), MATCH(TEXT(B155, "[$-421]mmmm"), Master_Target!$B$1:$M$1, 0))</f>
        <v>16500000</v>
      </c>
    </row>
    <row r="156" spans="1:13" x14ac:dyDescent="0.25">
      <c r="A156" s="7" t="s">
        <v>165</v>
      </c>
      <c r="B156" s="11" t="s">
        <v>1061</v>
      </c>
      <c r="C156" s="7">
        <f t="shared" si="8"/>
        <v>2</v>
      </c>
      <c r="D156" s="7" t="str">
        <f t="shared" si="9"/>
        <v>Feb</v>
      </c>
      <c r="E156" s="7" t="s">
        <v>1353</v>
      </c>
      <c r="F156" s="7" t="str">
        <f t="shared" si="10"/>
        <v>Sari Yuliana</v>
      </c>
      <c r="G156" s="7" t="s">
        <v>1360</v>
      </c>
      <c r="H156" s="7" t="s">
        <v>1366</v>
      </c>
      <c r="I156" s="7">
        <v>1</v>
      </c>
      <c r="J156" s="7" t="str">
        <f>INDEX(Master_Produk!$C$2:$C$11,MATCH(H156,Master_Produk!$A$2:$A$11,0))</f>
        <v>Elektronik</v>
      </c>
      <c r="K156" s="8">
        <f>INDEX(Master_Produk!$E$2:$E$11,MATCH(Data_Transaksi!H156,Master_Produk!$A$2:$A$11,0))</f>
        <v>7500000</v>
      </c>
      <c r="L156" s="8">
        <f t="shared" si="11"/>
        <v>7500000</v>
      </c>
      <c r="M156" s="8">
        <f>INDEX(Master_Target!$B$2:$M$4, MATCH(J156, Master_Target!$A$2:$A$4, 0), MATCH(TEXT(B156, "[$-421]mmmm"), Master_Target!$B$1:$M$1, 0))</f>
        <v>55000000</v>
      </c>
    </row>
    <row r="157" spans="1:13" x14ac:dyDescent="0.25">
      <c r="A157" s="7" t="s">
        <v>166</v>
      </c>
      <c r="B157" s="11" t="s">
        <v>1061</v>
      </c>
      <c r="C157" s="7">
        <f t="shared" si="8"/>
        <v>2</v>
      </c>
      <c r="D157" s="7" t="str">
        <f t="shared" si="9"/>
        <v>Feb</v>
      </c>
      <c r="E157" s="7" t="s">
        <v>1356</v>
      </c>
      <c r="F157" s="7" t="str">
        <f t="shared" si="10"/>
        <v>Eko Prasetyo</v>
      </c>
      <c r="G157" s="7" t="s">
        <v>1358</v>
      </c>
      <c r="H157" s="7" t="s">
        <v>1362</v>
      </c>
      <c r="I157" s="7">
        <v>1</v>
      </c>
      <c r="J157" s="7" t="str">
        <f>INDEX(Master_Produk!$C$2:$C$11,MATCH(H157,Master_Produk!$A$2:$A$11,0))</f>
        <v>Pakaian</v>
      </c>
      <c r="K157" s="8">
        <f>INDEX(Master_Produk!$E$2:$E$11,MATCH(Data_Transaksi!H157,Master_Produk!$A$2:$A$11,0))</f>
        <v>350000</v>
      </c>
      <c r="L157" s="8">
        <f t="shared" si="11"/>
        <v>350000</v>
      </c>
      <c r="M157" s="8">
        <f>INDEX(Master_Target!$B$2:$M$4, MATCH(J157, Master_Target!$A$2:$A$4, 0), MATCH(TEXT(B157, "[$-421]mmmm"), Master_Target!$B$1:$M$1, 0))</f>
        <v>16500000</v>
      </c>
    </row>
    <row r="158" spans="1:13" x14ac:dyDescent="0.25">
      <c r="A158" s="7" t="s">
        <v>167</v>
      </c>
      <c r="B158" s="11" t="s">
        <v>1061</v>
      </c>
      <c r="C158" s="7">
        <f t="shared" si="8"/>
        <v>2</v>
      </c>
      <c r="D158" s="7" t="str">
        <f t="shared" si="9"/>
        <v>Feb</v>
      </c>
      <c r="E158" s="7" t="s">
        <v>1355</v>
      </c>
      <c r="F158" s="7" t="str">
        <f t="shared" si="10"/>
        <v>Bambang H.</v>
      </c>
      <c r="G158" s="7" t="s">
        <v>1357</v>
      </c>
      <c r="H158" s="7" t="s">
        <v>1367</v>
      </c>
      <c r="I158" s="7">
        <v>1</v>
      </c>
      <c r="J158" s="7" t="str">
        <f>INDEX(Master_Produk!$C$2:$C$11,MATCH(H158,Master_Produk!$A$2:$A$11,0))</f>
        <v>Elektronik</v>
      </c>
      <c r="K158" s="8">
        <f>INDEX(Master_Produk!$E$2:$E$11,MATCH(Data_Transaksi!H158,Master_Produk!$A$2:$A$11,0))</f>
        <v>250000</v>
      </c>
      <c r="L158" s="8">
        <f t="shared" si="11"/>
        <v>250000</v>
      </c>
      <c r="M158" s="8">
        <f>INDEX(Master_Target!$B$2:$M$4, MATCH(J158, Master_Target!$A$2:$A$4, 0), MATCH(TEXT(B158, "[$-421]mmmm"), Master_Target!$B$1:$M$1, 0))</f>
        <v>55000000</v>
      </c>
    </row>
    <row r="159" spans="1:13" x14ac:dyDescent="0.25">
      <c r="A159" s="7" t="s">
        <v>168</v>
      </c>
      <c r="B159" s="11" t="s">
        <v>1062</v>
      </c>
      <c r="C159" s="7">
        <f t="shared" si="8"/>
        <v>2</v>
      </c>
      <c r="D159" s="7" t="str">
        <f t="shared" si="9"/>
        <v>Feb</v>
      </c>
      <c r="E159" s="7" t="s">
        <v>1348</v>
      </c>
      <c r="F159" s="7" t="str">
        <f t="shared" si="10"/>
        <v>Budi Santoso</v>
      </c>
      <c r="G159" s="7" t="s">
        <v>1358</v>
      </c>
      <c r="H159" s="7" t="s">
        <v>1363</v>
      </c>
      <c r="I159" s="7">
        <v>2</v>
      </c>
      <c r="J159" s="7" t="str">
        <f>INDEX(Master_Produk!$C$2:$C$11,MATCH(H159,Master_Produk!$A$2:$A$11,0))</f>
        <v>Pakaian</v>
      </c>
      <c r="K159" s="8">
        <f>INDEX(Master_Produk!$E$2:$E$11,MATCH(Data_Transaksi!H159,Master_Produk!$A$2:$A$11,0))</f>
        <v>250000</v>
      </c>
      <c r="L159" s="8">
        <f t="shared" si="11"/>
        <v>500000</v>
      </c>
      <c r="M159" s="8">
        <f>INDEX(Master_Target!$B$2:$M$4, MATCH(J159, Master_Target!$A$2:$A$4, 0), MATCH(TEXT(B159, "[$-421]mmmm"), Master_Target!$B$1:$M$1, 0))</f>
        <v>16500000</v>
      </c>
    </row>
    <row r="160" spans="1:13" x14ac:dyDescent="0.25">
      <c r="A160" s="7" t="s">
        <v>169</v>
      </c>
      <c r="B160" s="11" t="s">
        <v>1063</v>
      </c>
      <c r="C160" s="7">
        <f t="shared" si="8"/>
        <v>2</v>
      </c>
      <c r="D160" s="7" t="str">
        <f t="shared" si="9"/>
        <v>Feb</v>
      </c>
      <c r="E160" s="7" t="s">
        <v>1347</v>
      </c>
      <c r="F160" s="7" t="str">
        <f t="shared" si="10"/>
        <v>Rina Marlina</v>
      </c>
      <c r="G160" s="7" t="s">
        <v>1358</v>
      </c>
      <c r="H160" s="7" t="s">
        <v>1362</v>
      </c>
      <c r="I160" s="7">
        <v>2</v>
      </c>
      <c r="J160" s="7" t="str">
        <f>INDEX(Master_Produk!$C$2:$C$11,MATCH(H160,Master_Produk!$A$2:$A$11,0))</f>
        <v>Pakaian</v>
      </c>
      <c r="K160" s="8">
        <f>INDEX(Master_Produk!$E$2:$E$11,MATCH(Data_Transaksi!H160,Master_Produk!$A$2:$A$11,0))</f>
        <v>350000</v>
      </c>
      <c r="L160" s="8">
        <f t="shared" si="11"/>
        <v>700000</v>
      </c>
      <c r="M160" s="8">
        <f>INDEX(Master_Target!$B$2:$M$4, MATCH(J160, Master_Target!$A$2:$A$4, 0), MATCH(TEXT(B160, "[$-421]mmmm"), Master_Target!$B$1:$M$1, 0))</f>
        <v>16500000</v>
      </c>
    </row>
    <row r="161" spans="1:13" x14ac:dyDescent="0.25">
      <c r="A161" s="7" t="s">
        <v>170</v>
      </c>
      <c r="B161" s="11" t="s">
        <v>1063</v>
      </c>
      <c r="C161" s="7">
        <f t="shared" si="8"/>
        <v>2</v>
      </c>
      <c r="D161" s="7" t="str">
        <f t="shared" si="9"/>
        <v>Feb</v>
      </c>
      <c r="E161" s="7" t="s">
        <v>1356</v>
      </c>
      <c r="F161" s="7" t="str">
        <f t="shared" si="10"/>
        <v>Eko Prasetyo</v>
      </c>
      <c r="G161" s="7" t="s">
        <v>1357</v>
      </c>
      <c r="H161" s="7" t="s">
        <v>1362</v>
      </c>
      <c r="I161" s="7">
        <v>1</v>
      </c>
      <c r="J161" s="7" t="str">
        <f>INDEX(Master_Produk!$C$2:$C$11,MATCH(H161,Master_Produk!$A$2:$A$11,0))</f>
        <v>Pakaian</v>
      </c>
      <c r="K161" s="8">
        <f>INDEX(Master_Produk!$E$2:$E$11,MATCH(Data_Transaksi!H161,Master_Produk!$A$2:$A$11,0))</f>
        <v>350000</v>
      </c>
      <c r="L161" s="8">
        <f t="shared" si="11"/>
        <v>350000</v>
      </c>
      <c r="M161" s="8">
        <f>INDEX(Master_Target!$B$2:$M$4, MATCH(J161, Master_Target!$A$2:$A$4, 0), MATCH(TEXT(B161, "[$-421]mmmm"), Master_Target!$B$1:$M$1, 0))</f>
        <v>16500000</v>
      </c>
    </row>
    <row r="162" spans="1:13" x14ac:dyDescent="0.25">
      <c r="A162" s="7" t="s">
        <v>171</v>
      </c>
      <c r="B162" s="11" t="s">
        <v>1064</v>
      </c>
      <c r="C162" s="7">
        <f t="shared" si="8"/>
        <v>2</v>
      </c>
      <c r="D162" s="7" t="str">
        <f t="shared" si="9"/>
        <v>Feb</v>
      </c>
      <c r="E162" s="7" t="s">
        <v>1349</v>
      </c>
      <c r="F162" s="7" t="str">
        <f t="shared" si="10"/>
        <v>Dewi Lestari</v>
      </c>
      <c r="G162" s="7" t="s">
        <v>1360</v>
      </c>
      <c r="H162" s="7" t="s">
        <v>1364</v>
      </c>
      <c r="I162" s="7">
        <v>3</v>
      </c>
      <c r="J162" s="7" t="str">
        <f>INDEX(Master_Produk!$C$2:$C$11,MATCH(H162,Master_Produk!$A$2:$A$11,0))</f>
        <v>Furnitur</v>
      </c>
      <c r="K162" s="8">
        <f>INDEX(Master_Produk!$E$2:$E$11,MATCH(Data_Transaksi!H162,Master_Produk!$A$2:$A$11,0))</f>
        <v>950000</v>
      </c>
      <c r="L162" s="8">
        <f t="shared" si="11"/>
        <v>2850000</v>
      </c>
      <c r="M162" s="8">
        <f>INDEX(Master_Target!$B$2:$M$4, MATCH(J162, Master_Target!$A$2:$A$4, 0), MATCH(TEXT(B162, "[$-421]mmmm"), Master_Target!$B$1:$M$1, 0))</f>
        <v>22000000</v>
      </c>
    </row>
    <row r="163" spans="1:13" x14ac:dyDescent="0.25">
      <c r="A163" s="7" t="s">
        <v>172</v>
      </c>
      <c r="B163" s="11" t="s">
        <v>1065</v>
      </c>
      <c r="C163" s="7">
        <f t="shared" si="8"/>
        <v>2</v>
      </c>
      <c r="D163" s="7" t="str">
        <f t="shared" si="9"/>
        <v>Feb</v>
      </c>
      <c r="E163" s="7" t="s">
        <v>1350</v>
      </c>
      <c r="F163" s="7" t="str">
        <f t="shared" si="10"/>
        <v>Andi Wijaya</v>
      </c>
      <c r="G163" s="7" t="s">
        <v>1357</v>
      </c>
      <c r="H163" s="7" t="s">
        <v>1366</v>
      </c>
      <c r="I163" s="7">
        <v>2</v>
      </c>
      <c r="J163" s="7" t="str">
        <f>INDEX(Master_Produk!$C$2:$C$11,MATCH(H163,Master_Produk!$A$2:$A$11,0))</f>
        <v>Elektronik</v>
      </c>
      <c r="K163" s="8">
        <f>INDEX(Master_Produk!$E$2:$E$11,MATCH(Data_Transaksi!H163,Master_Produk!$A$2:$A$11,0))</f>
        <v>7500000</v>
      </c>
      <c r="L163" s="8">
        <f t="shared" si="11"/>
        <v>15000000</v>
      </c>
      <c r="M163" s="8">
        <f>INDEX(Master_Target!$B$2:$M$4, MATCH(J163, Master_Target!$A$2:$A$4, 0), MATCH(TEXT(B163, "[$-421]mmmm"), Master_Target!$B$1:$M$1, 0))</f>
        <v>55000000</v>
      </c>
    </row>
    <row r="164" spans="1:13" x14ac:dyDescent="0.25">
      <c r="A164" s="7" t="s">
        <v>173</v>
      </c>
      <c r="B164" s="11" t="s">
        <v>1065</v>
      </c>
      <c r="C164" s="7">
        <f t="shared" si="8"/>
        <v>2</v>
      </c>
      <c r="D164" s="7" t="str">
        <f t="shared" si="9"/>
        <v>Feb</v>
      </c>
      <c r="E164" s="7" t="s">
        <v>1348</v>
      </c>
      <c r="F164" s="7" t="str">
        <f t="shared" si="10"/>
        <v>Budi Santoso</v>
      </c>
      <c r="G164" s="7" t="s">
        <v>1359</v>
      </c>
      <c r="H164" s="7" t="s">
        <v>1362</v>
      </c>
      <c r="I164" s="7">
        <v>2</v>
      </c>
      <c r="J164" s="7" t="str">
        <f>INDEX(Master_Produk!$C$2:$C$11,MATCH(H164,Master_Produk!$A$2:$A$11,0))</f>
        <v>Pakaian</v>
      </c>
      <c r="K164" s="8">
        <f>INDEX(Master_Produk!$E$2:$E$11,MATCH(Data_Transaksi!H164,Master_Produk!$A$2:$A$11,0))</f>
        <v>350000</v>
      </c>
      <c r="L164" s="8">
        <f t="shared" si="11"/>
        <v>700000</v>
      </c>
      <c r="M164" s="8">
        <f>INDEX(Master_Target!$B$2:$M$4, MATCH(J164, Master_Target!$A$2:$A$4, 0), MATCH(TEXT(B164, "[$-421]mmmm"), Master_Target!$B$1:$M$1, 0))</f>
        <v>16500000</v>
      </c>
    </row>
    <row r="165" spans="1:13" x14ac:dyDescent="0.25">
      <c r="A165" s="7" t="s">
        <v>174</v>
      </c>
      <c r="B165" s="11" t="s">
        <v>1065</v>
      </c>
      <c r="C165" s="7">
        <f t="shared" si="8"/>
        <v>2</v>
      </c>
      <c r="D165" s="7" t="str">
        <f t="shared" si="9"/>
        <v>Feb</v>
      </c>
      <c r="E165" s="7" t="s">
        <v>1350</v>
      </c>
      <c r="F165" s="7" t="str">
        <f t="shared" si="10"/>
        <v>Andi Wijaya</v>
      </c>
      <c r="G165" s="7" t="s">
        <v>1357</v>
      </c>
      <c r="H165" s="7" t="s">
        <v>1367</v>
      </c>
      <c r="I165" s="7">
        <v>2</v>
      </c>
      <c r="J165" s="7" t="str">
        <f>INDEX(Master_Produk!$C$2:$C$11,MATCH(H165,Master_Produk!$A$2:$A$11,0))</f>
        <v>Elektronik</v>
      </c>
      <c r="K165" s="8">
        <f>INDEX(Master_Produk!$E$2:$E$11,MATCH(Data_Transaksi!H165,Master_Produk!$A$2:$A$11,0))</f>
        <v>250000</v>
      </c>
      <c r="L165" s="8">
        <f t="shared" si="11"/>
        <v>500000</v>
      </c>
      <c r="M165" s="8">
        <f>INDEX(Master_Target!$B$2:$M$4, MATCH(J165, Master_Target!$A$2:$A$4, 0), MATCH(TEXT(B165, "[$-421]mmmm"), Master_Target!$B$1:$M$1, 0))</f>
        <v>55000000</v>
      </c>
    </row>
    <row r="166" spans="1:13" x14ac:dyDescent="0.25">
      <c r="A166" s="7" t="s">
        <v>175</v>
      </c>
      <c r="B166" s="11" t="s">
        <v>1065</v>
      </c>
      <c r="C166" s="7">
        <f t="shared" si="8"/>
        <v>2</v>
      </c>
      <c r="D166" s="7" t="str">
        <f t="shared" si="9"/>
        <v>Feb</v>
      </c>
      <c r="E166" s="7" t="s">
        <v>1353</v>
      </c>
      <c r="F166" s="7" t="str">
        <f t="shared" si="10"/>
        <v>Sari Yuliana</v>
      </c>
      <c r="G166" s="7" t="s">
        <v>1357</v>
      </c>
      <c r="H166" s="7" t="s">
        <v>1370</v>
      </c>
      <c r="I166" s="7">
        <v>2</v>
      </c>
      <c r="J166" s="7" t="str">
        <f>INDEX(Master_Produk!$C$2:$C$11,MATCH(H166,Master_Produk!$A$2:$A$11,0))</f>
        <v>Furnitur</v>
      </c>
      <c r="K166" s="8">
        <f>INDEX(Master_Produk!$E$2:$E$11,MATCH(Data_Transaksi!H166,Master_Produk!$A$2:$A$11,0))</f>
        <v>1200000</v>
      </c>
      <c r="L166" s="8">
        <f t="shared" si="11"/>
        <v>2400000</v>
      </c>
      <c r="M166" s="8">
        <f>INDEX(Master_Target!$B$2:$M$4, MATCH(J166, Master_Target!$A$2:$A$4, 0), MATCH(TEXT(B166, "[$-421]mmmm"), Master_Target!$B$1:$M$1, 0))</f>
        <v>22000000</v>
      </c>
    </row>
    <row r="167" spans="1:13" x14ac:dyDescent="0.25">
      <c r="A167" s="7" t="s">
        <v>176</v>
      </c>
      <c r="B167" s="11" t="s">
        <v>1065</v>
      </c>
      <c r="C167" s="7">
        <f t="shared" si="8"/>
        <v>2</v>
      </c>
      <c r="D167" s="7" t="str">
        <f t="shared" si="9"/>
        <v>Feb</v>
      </c>
      <c r="E167" s="7" t="s">
        <v>1347</v>
      </c>
      <c r="F167" s="7" t="str">
        <f t="shared" si="10"/>
        <v>Rina Marlina</v>
      </c>
      <c r="G167" s="7" t="s">
        <v>1361</v>
      </c>
      <c r="H167" s="7" t="s">
        <v>1368</v>
      </c>
      <c r="I167" s="7">
        <v>2</v>
      </c>
      <c r="J167" s="7" t="str">
        <f>INDEX(Master_Produk!$C$2:$C$11,MATCH(H167,Master_Produk!$A$2:$A$11,0))</f>
        <v>Furnitur</v>
      </c>
      <c r="K167" s="8">
        <f>INDEX(Master_Produk!$E$2:$E$11,MATCH(Data_Transaksi!H167,Master_Produk!$A$2:$A$11,0))</f>
        <v>650000</v>
      </c>
      <c r="L167" s="8">
        <f t="shared" si="11"/>
        <v>1300000</v>
      </c>
      <c r="M167" s="8">
        <f>INDEX(Master_Target!$B$2:$M$4, MATCH(J167, Master_Target!$A$2:$A$4, 0), MATCH(TEXT(B167, "[$-421]mmmm"), Master_Target!$B$1:$M$1, 0))</f>
        <v>22000000</v>
      </c>
    </row>
    <row r="168" spans="1:13" x14ac:dyDescent="0.25">
      <c r="A168" s="7" t="s">
        <v>177</v>
      </c>
      <c r="B168" s="11" t="s">
        <v>1065</v>
      </c>
      <c r="C168" s="7">
        <f t="shared" si="8"/>
        <v>2</v>
      </c>
      <c r="D168" s="7" t="str">
        <f t="shared" si="9"/>
        <v>Feb</v>
      </c>
      <c r="E168" s="7" t="s">
        <v>1347</v>
      </c>
      <c r="F168" s="7" t="str">
        <f t="shared" si="10"/>
        <v>Rina Marlina</v>
      </c>
      <c r="G168" s="7" t="s">
        <v>1359</v>
      </c>
      <c r="H168" s="7" t="s">
        <v>1362</v>
      </c>
      <c r="I168" s="7">
        <v>1</v>
      </c>
      <c r="J168" s="7" t="str">
        <f>INDEX(Master_Produk!$C$2:$C$11,MATCH(H168,Master_Produk!$A$2:$A$11,0))</f>
        <v>Pakaian</v>
      </c>
      <c r="K168" s="8">
        <f>INDEX(Master_Produk!$E$2:$E$11,MATCH(Data_Transaksi!H168,Master_Produk!$A$2:$A$11,0))</f>
        <v>350000</v>
      </c>
      <c r="L168" s="8">
        <f t="shared" si="11"/>
        <v>350000</v>
      </c>
      <c r="M168" s="8">
        <f>INDEX(Master_Target!$B$2:$M$4, MATCH(J168, Master_Target!$A$2:$A$4, 0), MATCH(TEXT(B168, "[$-421]mmmm"), Master_Target!$B$1:$M$1, 0))</f>
        <v>16500000</v>
      </c>
    </row>
    <row r="169" spans="1:13" x14ac:dyDescent="0.25">
      <c r="A169" s="7" t="s">
        <v>178</v>
      </c>
      <c r="B169" s="11" t="s">
        <v>1066</v>
      </c>
      <c r="C169" s="7">
        <f t="shared" si="8"/>
        <v>2</v>
      </c>
      <c r="D169" s="7" t="str">
        <f t="shared" si="9"/>
        <v>Feb</v>
      </c>
      <c r="E169" s="7" t="s">
        <v>1355</v>
      </c>
      <c r="F169" s="7" t="str">
        <f t="shared" si="10"/>
        <v>Bambang H.</v>
      </c>
      <c r="G169" s="7" t="s">
        <v>1361</v>
      </c>
      <c r="H169" s="7" t="s">
        <v>1365</v>
      </c>
      <c r="I169" s="7">
        <v>1</v>
      </c>
      <c r="J169" s="7" t="str">
        <f>INDEX(Master_Produk!$C$2:$C$11,MATCH(H169,Master_Produk!$A$2:$A$11,0))</f>
        <v>Elektronik</v>
      </c>
      <c r="K169" s="8">
        <f>INDEX(Master_Produk!$E$2:$E$11,MATCH(Data_Transaksi!H169,Master_Produk!$A$2:$A$11,0))</f>
        <v>1800000</v>
      </c>
      <c r="L169" s="8">
        <f t="shared" si="11"/>
        <v>1800000</v>
      </c>
      <c r="M169" s="8">
        <f>INDEX(Master_Target!$B$2:$M$4, MATCH(J169, Master_Target!$A$2:$A$4, 0), MATCH(TEXT(B169, "[$-421]mmmm"), Master_Target!$B$1:$M$1, 0))</f>
        <v>55000000</v>
      </c>
    </row>
    <row r="170" spans="1:13" x14ac:dyDescent="0.25">
      <c r="A170" s="7" t="s">
        <v>179</v>
      </c>
      <c r="B170" s="11" t="s">
        <v>1067</v>
      </c>
      <c r="C170" s="7">
        <f t="shared" si="8"/>
        <v>3</v>
      </c>
      <c r="D170" s="7" t="str">
        <f t="shared" si="9"/>
        <v>Mar</v>
      </c>
      <c r="E170" s="7" t="s">
        <v>1347</v>
      </c>
      <c r="F170" s="7" t="str">
        <f t="shared" si="10"/>
        <v>Rina Marlina</v>
      </c>
      <c r="G170" s="7" t="s">
        <v>1360</v>
      </c>
      <c r="H170" s="7" t="s">
        <v>1370</v>
      </c>
      <c r="I170" s="7">
        <v>4</v>
      </c>
      <c r="J170" s="7" t="str">
        <f>INDEX(Master_Produk!$C$2:$C$11,MATCH(H170,Master_Produk!$A$2:$A$11,0))</f>
        <v>Furnitur</v>
      </c>
      <c r="K170" s="8">
        <f>INDEX(Master_Produk!$E$2:$E$11,MATCH(Data_Transaksi!H170,Master_Produk!$A$2:$A$11,0))</f>
        <v>1200000</v>
      </c>
      <c r="L170" s="8">
        <f t="shared" si="11"/>
        <v>4800000</v>
      </c>
      <c r="M170" s="8">
        <f>INDEX(Master_Target!$B$2:$M$4, MATCH(J170, Master_Target!$A$2:$A$4, 0), MATCH(TEXT(B170, "[$-421]mmmm"), Master_Target!$B$1:$M$1, 0))</f>
        <v>24000000</v>
      </c>
    </row>
    <row r="171" spans="1:13" x14ac:dyDescent="0.25">
      <c r="A171" s="7" t="s">
        <v>180</v>
      </c>
      <c r="B171" s="11" t="s">
        <v>1067</v>
      </c>
      <c r="C171" s="7">
        <f t="shared" si="8"/>
        <v>3</v>
      </c>
      <c r="D171" s="7" t="str">
        <f t="shared" si="9"/>
        <v>Mar</v>
      </c>
      <c r="E171" s="7" t="s">
        <v>1352</v>
      </c>
      <c r="F171" s="7" t="str">
        <f t="shared" si="10"/>
        <v>Ahmad Fauzi</v>
      </c>
      <c r="G171" s="7" t="s">
        <v>1360</v>
      </c>
      <c r="H171" s="7" t="s">
        <v>1364</v>
      </c>
      <c r="I171" s="7">
        <v>5</v>
      </c>
      <c r="J171" s="7" t="str">
        <f>INDEX(Master_Produk!$C$2:$C$11,MATCH(H171,Master_Produk!$A$2:$A$11,0))</f>
        <v>Furnitur</v>
      </c>
      <c r="K171" s="8">
        <f>INDEX(Master_Produk!$E$2:$E$11,MATCH(Data_Transaksi!H171,Master_Produk!$A$2:$A$11,0))</f>
        <v>950000</v>
      </c>
      <c r="L171" s="8">
        <f t="shared" si="11"/>
        <v>4750000</v>
      </c>
      <c r="M171" s="8">
        <f>INDEX(Master_Target!$B$2:$M$4, MATCH(J171, Master_Target!$A$2:$A$4, 0), MATCH(TEXT(B171, "[$-421]mmmm"), Master_Target!$B$1:$M$1, 0))</f>
        <v>24000000</v>
      </c>
    </row>
    <row r="172" spans="1:13" x14ac:dyDescent="0.25">
      <c r="A172" s="7" t="s">
        <v>181</v>
      </c>
      <c r="B172" s="11" t="s">
        <v>1068</v>
      </c>
      <c r="C172" s="7">
        <f t="shared" si="8"/>
        <v>3</v>
      </c>
      <c r="D172" s="7" t="str">
        <f t="shared" si="9"/>
        <v>Mar</v>
      </c>
      <c r="E172" s="7" t="s">
        <v>1351</v>
      </c>
      <c r="F172" s="7" t="str">
        <f t="shared" si="10"/>
        <v>Siti Rahma</v>
      </c>
      <c r="G172" s="7" t="s">
        <v>1359</v>
      </c>
      <c r="H172" s="7" t="s">
        <v>1366</v>
      </c>
      <c r="I172" s="7">
        <v>1</v>
      </c>
      <c r="J172" s="7" t="str">
        <f>INDEX(Master_Produk!$C$2:$C$11,MATCH(H172,Master_Produk!$A$2:$A$11,0))</f>
        <v>Elektronik</v>
      </c>
      <c r="K172" s="8">
        <f>INDEX(Master_Produk!$E$2:$E$11,MATCH(Data_Transaksi!H172,Master_Produk!$A$2:$A$11,0))</f>
        <v>7500000</v>
      </c>
      <c r="L172" s="8">
        <f t="shared" si="11"/>
        <v>7500000</v>
      </c>
      <c r="M172" s="8">
        <f>INDEX(Master_Target!$B$2:$M$4, MATCH(J172, Master_Target!$A$2:$A$4, 0), MATCH(TEXT(B172, "[$-421]mmmm"), Master_Target!$B$1:$M$1, 0))</f>
        <v>60000000</v>
      </c>
    </row>
    <row r="173" spans="1:13" x14ac:dyDescent="0.25">
      <c r="A173" s="7" t="s">
        <v>182</v>
      </c>
      <c r="B173" s="11" t="s">
        <v>1068</v>
      </c>
      <c r="C173" s="7">
        <f t="shared" si="8"/>
        <v>3</v>
      </c>
      <c r="D173" s="7" t="str">
        <f t="shared" si="9"/>
        <v>Mar</v>
      </c>
      <c r="E173" s="7" t="s">
        <v>1351</v>
      </c>
      <c r="F173" s="7" t="str">
        <f t="shared" si="10"/>
        <v>Siti Rahma</v>
      </c>
      <c r="G173" s="7" t="s">
        <v>1358</v>
      </c>
      <c r="H173" s="7" t="s">
        <v>1362</v>
      </c>
      <c r="I173" s="7">
        <v>1</v>
      </c>
      <c r="J173" s="7" t="str">
        <f>INDEX(Master_Produk!$C$2:$C$11,MATCH(H173,Master_Produk!$A$2:$A$11,0))</f>
        <v>Pakaian</v>
      </c>
      <c r="K173" s="8">
        <f>INDEX(Master_Produk!$E$2:$E$11,MATCH(Data_Transaksi!H173,Master_Produk!$A$2:$A$11,0))</f>
        <v>350000</v>
      </c>
      <c r="L173" s="8">
        <f t="shared" si="11"/>
        <v>350000</v>
      </c>
      <c r="M173" s="8">
        <f>INDEX(Master_Target!$B$2:$M$4, MATCH(J173, Master_Target!$A$2:$A$4, 0), MATCH(TEXT(B173, "[$-421]mmmm"), Master_Target!$B$1:$M$1, 0))</f>
        <v>18000000</v>
      </c>
    </row>
    <row r="174" spans="1:13" x14ac:dyDescent="0.25">
      <c r="A174" s="7" t="s">
        <v>183</v>
      </c>
      <c r="B174" s="11" t="s">
        <v>1069</v>
      </c>
      <c r="C174" s="7">
        <f t="shared" si="8"/>
        <v>3</v>
      </c>
      <c r="D174" s="7" t="str">
        <f t="shared" si="9"/>
        <v>Mar</v>
      </c>
      <c r="E174" s="7" t="s">
        <v>1355</v>
      </c>
      <c r="F174" s="7" t="str">
        <f t="shared" si="10"/>
        <v>Bambang H.</v>
      </c>
      <c r="G174" s="7" t="s">
        <v>1357</v>
      </c>
      <c r="H174" s="7" t="s">
        <v>1369</v>
      </c>
      <c r="I174" s="7">
        <v>2</v>
      </c>
      <c r="J174" s="7" t="str">
        <f>INDEX(Master_Produk!$C$2:$C$11,MATCH(H174,Master_Produk!$A$2:$A$11,0))</f>
        <v>Elektronik</v>
      </c>
      <c r="K174" s="8">
        <f>INDEX(Master_Produk!$E$2:$E$11,MATCH(Data_Transaksi!H174,Master_Produk!$A$2:$A$11,0))</f>
        <v>4500000</v>
      </c>
      <c r="L174" s="8">
        <f t="shared" si="11"/>
        <v>9000000</v>
      </c>
      <c r="M174" s="8">
        <f>INDEX(Master_Target!$B$2:$M$4, MATCH(J174, Master_Target!$A$2:$A$4, 0), MATCH(TEXT(B174, "[$-421]mmmm"), Master_Target!$B$1:$M$1, 0))</f>
        <v>60000000</v>
      </c>
    </row>
    <row r="175" spans="1:13" x14ac:dyDescent="0.25">
      <c r="A175" s="7" t="s">
        <v>184</v>
      </c>
      <c r="B175" s="11" t="s">
        <v>1069</v>
      </c>
      <c r="C175" s="7">
        <f t="shared" si="8"/>
        <v>3</v>
      </c>
      <c r="D175" s="7" t="str">
        <f t="shared" si="9"/>
        <v>Mar</v>
      </c>
      <c r="E175" s="7" t="s">
        <v>1352</v>
      </c>
      <c r="F175" s="7" t="str">
        <f t="shared" si="10"/>
        <v>Ahmad Fauzi</v>
      </c>
      <c r="G175" s="7" t="s">
        <v>1361</v>
      </c>
      <c r="H175" s="7" t="s">
        <v>1364</v>
      </c>
      <c r="I175" s="7">
        <v>2</v>
      </c>
      <c r="J175" s="7" t="str">
        <f>INDEX(Master_Produk!$C$2:$C$11,MATCH(H175,Master_Produk!$A$2:$A$11,0))</f>
        <v>Furnitur</v>
      </c>
      <c r="K175" s="8">
        <f>INDEX(Master_Produk!$E$2:$E$11,MATCH(Data_Transaksi!H175,Master_Produk!$A$2:$A$11,0))</f>
        <v>950000</v>
      </c>
      <c r="L175" s="8">
        <f t="shared" si="11"/>
        <v>1900000</v>
      </c>
      <c r="M175" s="8">
        <f>INDEX(Master_Target!$B$2:$M$4, MATCH(J175, Master_Target!$A$2:$A$4, 0), MATCH(TEXT(B175, "[$-421]mmmm"), Master_Target!$B$1:$M$1, 0))</f>
        <v>24000000</v>
      </c>
    </row>
    <row r="176" spans="1:13" x14ac:dyDescent="0.25">
      <c r="A176" s="7" t="s">
        <v>185</v>
      </c>
      <c r="B176" s="11" t="s">
        <v>1069</v>
      </c>
      <c r="C176" s="7">
        <f t="shared" si="8"/>
        <v>3</v>
      </c>
      <c r="D176" s="7" t="str">
        <f t="shared" si="9"/>
        <v>Mar</v>
      </c>
      <c r="E176" s="7" t="s">
        <v>1351</v>
      </c>
      <c r="F176" s="7" t="str">
        <f t="shared" si="10"/>
        <v>Siti Rahma</v>
      </c>
      <c r="G176" s="7" t="s">
        <v>1359</v>
      </c>
      <c r="H176" s="7" t="s">
        <v>1366</v>
      </c>
      <c r="I176" s="7">
        <v>1</v>
      </c>
      <c r="J176" s="7" t="str">
        <f>INDEX(Master_Produk!$C$2:$C$11,MATCH(H176,Master_Produk!$A$2:$A$11,0))</f>
        <v>Elektronik</v>
      </c>
      <c r="K176" s="8">
        <f>INDEX(Master_Produk!$E$2:$E$11,MATCH(Data_Transaksi!H176,Master_Produk!$A$2:$A$11,0))</f>
        <v>7500000</v>
      </c>
      <c r="L176" s="8">
        <f t="shared" si="11"/>
        <v>7500000</v>
      </c>
      <c r="M176" s="8">
        <f>INDEX(Master_Target!$B$2:$M$4, MATCH(J176, Master_Target!$A$2:$A$4, 0), MATCH(TEXT(B176, "[$-421]mmmm"), Master_Target!$B$1:$M$1, 0))</f>
        <v>60000000</v>
      </c>
    </row>
    <row r="177" spans="1:13" x14ac:dyDescent="0.25">
      <c r="A177" s="7" t="s">
        <v>186</v>
      </c>
      <c r="B177" s="11" t="s">
        <v>1069</v>
      </c>
      <c r="C177" s="7">
        <f t="shared" si="8"/>
        <v>3</v>
      </c>
      <c r="D177" s="7" t="str">
        <f t="shared" si="9"/>
        <v>Mar</v>
      </c>
      <c r="E177" s="7" t="s">
        <v>1349</v>
      </c>
      <c r="F177" s="7" t="str">
        <f t="shared" si="10"/>
        <v>Dewi Lestari</v>
      </c>
      <c r="G177" s="7" t="s">
        <v>1361</v>
      </c>
      <c r="H177" s="7" t="s">
        <v>1367</v>
      </c>
      <c r="I177" s="7">
        <v>1</v>
      </c>
      <c r="J177" s="7" t="str">
        <f>INDEX(Master_Produk!$C$2:$C$11,MATCH(H177,Master_Produk!$A$2:$A$11,0))</f>
        <v>Elektronik</v>
      </c>
      <c r="K177" s="8">
        <f>INDEX(Master_Produk!$E$2:$E$11,MATCH(Data_Transaksi!H177,Master_Produk!$A$2:$A$11,0))</f>
        <v>250000</v>
      </c>
      <c r="L177" s="8">
        <f t="shared" si="11"/>
        <v>250000</v>
      </c>
      <c r="M177" s="8">
        <f>INDEX(Master_Target!$B$2:$M$4, MATCH(J177, Master_Target!$A$2:$A$4, 0), MATCH(TEXT(B177, "[$-421]mmmm"), Master_Target!$B$1:$M$1, 0))</f>
        <v>60000000</v>
      </c>
    </row>
    <row r="178" spans="1:13" x14ac:dyDescent="0.25">
      <c r="A178" s="7" t="s">
        <v>187</v>
      </c>
      <c r="B178" s="11" t="s">
        <v>1070</v>
      </c>
      <c r="C178" s="7">
        <f t="shared" si="8"/>
        <v>3</v>
      </c>
      <c r="D178" s="7" t="str">
        <f t="shared" si="9"/>
        <v>Mar</v>
      </c>
      <c r="E178" s="7" t="s">
        <v>1352</v>
      </c>
      <c r="F178" s="7" t="str">
        <f t="shared" si="10"/>
        <v>Ahmad Fauzi</v>
      </c>
      <c r="G178" s="7" t="s">
        <v>1357</v>
      </c>
      <c r="H178" s="7" t="s">
        <v>1371</v>
      </c>
      <c r="I178" s="7">
        <v>3</v>
      </c>
      <c r="J178" s="7" t="str">
        <f>INDEX(Master_Produk!$C$2:$C$11,MATCH(H178,Master_Produk!$A$2:$A$11,0))</f>
        <v>Pakaian</v>
      </c>
      <c r="K178" s="8">
        <f>INDEX(Master_Produk!$E$2:$E$11,MATCH(Data_Transaksi!H178,Master_Produk!$A$2:$A$11,0))</f>
        <v>280000</v>
      </c>
      <c r="L178" s="8">
        <f t="shared" si="11"/>
        <v>840000</v>
      </c>
      <c r="M178" s="8">
        <f>INDEX(Master_Target!$B$2:$M$4, MATCH(J178, Master_Target!$A$2:$A$4, 0), MATCH(TEXT(B178, "[$-421]mmmm"), Master_Target!$B$1:$M$1, 0))</f>
        <v>18000000</v>
      </c>
    </row>
    <row r="179" spans="1:13" x14ac:dyDescent="0.25">
      <c r="A179" s="7" t="s">
        <v>188</v>
      </c>
      <c r="B179" s="11" t="s">
        <v>1070</v>
      </c>
      <c r="C179" s="7">
        <f t="shared" si="8"/>
        <v>3</v>
      </c>
      <c r="D179" s="7" t="str">
        <f t="shared" si="9"/>
        <v>Mar</v>
      </c>
      <c r="E179" s="7" t="s">
        <v>1353</v>
      </c>
      <c r="F179" s="7" t="str">
        <f t="shared" si="10"/>
        <v>Sari Yuliana</v>
      </c>
      <c r="G179" s="7" t="s">
        <v>1358</v>
      </c>
      <c r="H179" s="7" t="s">
        <v>1365</v>
      </c>
      <c r="I179" s="7">
        <v>2</v>
      </c>
      <c r="J179" s="7" t="str">
        <f>INDEX(Master_Produk!$C$2:$C$11,MATCH(H179,Master_Produk!$A$2:$A$11,0))</f>
        <v>Elektronik</v>
      </c>
      <c r="K179" s="8">
        <f>INDEX(Master_Produk!$E$2:$E$11,MATCH(Data_Transaksi!H179,Master_Produk!$A$2:$A$11,0))</f>
        <v>1800000</v>
      </c>
      <c r="L179" s="8">
        <f t="shared" si="11"/>
        <v>3600000</v>
      </c>
      <c r="M179" s="8">
        <f>INDEX(Master_Target!$B$2:$M$4, MATCH(J179, Master_Target!$A$2:$A$4, 0), MATCH(TEXT(B179, "[$-421]mmmm"), Master_Target!$B$1:$M$1, 0))</f>
        <v>60000000</v>
      </c>
    </row>
    <row r="180" spans="1:13" x14ac:dyDescent="0.25">
      <c r="A180" s="7" t="s">
        <v>189</v>
      </c>
      <c r="B180" s="11" t="s">
        <v>1070</v>
      </c>
      <c r="C180" s="7">
        <f t="shared" si="8"/>
        <v>3</v>
      </c>
      <c r="D180" s="7" t="str">
        <f t="shared" si="9"/>
        <v>Mar</v>
      </c>
      <c r="E180" s="7" t="s">
        <v>1354</v>
      </c>
      <c r="F180" s="7" t="str">
        <f t="shared" si="10"/>
        <v>Mega Utami</v>
      </c>
      <c r="G180" s="7" t="s">
        <v>1361</v>
      </c>
      <c r="H180" s="7" t="s">
        <v>1370</v>
      </c>
      <c r="I180" s="7">
        <v>1</v>
      </c>
      <c r="J180" s="7" t="str">
        <f>INDEX(Master_Produk!$C$2:$C$11,MATCH(H180,Master_Produk!$A$2:$A$11,0))</f>
        <v>Furnitur</v>
      </c>
      <c r="K180" s="8">
        <f>INDEX(Master_Produk!$E$2:$E$11,MATCH(Data_Transaksi!H180,Master_Produk!$A$2:$A$11,0))</f>
        <v>1200000</v>
      </c>
      <c r="L180" s="8">
        <f t="shared" si="11"/>
        <v>1200000</v>
      </c>
      <c r="M180" s="8">
        <f>INDEX(Master_Target!$B$2:$M$4, MATCH(J180, Master_Target!$A$2:$A$4, 0), MATCH(TEXT(B180, "[$-421]mmmm"), Master_Target!$B$1:$M$1, 0))</f>
        <v>24000000</v>
      </c>
    </row>
    <row r="181" spans="1:13" x14ac:dyDescent="0.25">
      <c r="A181" s="7" t="s">
        <v>190</v>
      </c>
      <c r="B181" s="11" t="s">
        <v>1070</v>
      </c>
      <c r="C181" s="7">
        <f t="shared" si="8"/>
        <v>3</v>
      </c>
      <c r="D181" s="7" t="str">
        <f t="shared" si="9"/>
        <v>Mar</v>
      </c>
      <c r="E181" s="7" t="s">
        <v>1350</v>
      </c>
      <c r="F181" s="7" t="str">
        <f t="shared" si="10"/>
        <v>Andi Wijaya</v>
      </c>
      <c r="G181" s="7" t="s">
        <v>1359</v>
      </c>
      <c r="H181" s="7" t="s">
        <v>1365</v>
      </c>
      <c r="I181" s="7">
        <v>1</v>
      </c>
      <c r="J181" s="7" t="str">
        <f>INDEX(Master_Produk!$C$2:$C$11,MATCH(H181,Master_Produk!$A$2:$A$11,0))</f>
        <v>Elektronik</v>
      </c>
      <c r="K181" s="8">
        <f>INDEX(Master_Produk!$E$2:$E$11,MATCH(Data_Transaksi!H181,Master_Produk!$A$2:$A$11,0))</f>
        <v>1800000</v>
      </c>
      <c r="L181" s="8">
        <f t="shared" si="11"/>
        <v>1800000</v>
      </c>
      <c r="M181" s="8">
        <f>INDEX(Master_Target!$B$2:$M$4, MATCH(J181, Master_Target!$A$2:$A$4, 0), MATCH(TEXT(B181, "[$-421]mmmm"), Master_Target!$B$1:$M$1, 0))</f>
        <v>60000000</v>
      </c>
    </row>
    <row r="182" spans="1:13" x14ac:dyDescent="0.25">
      <c r="A182" s="7" t="s">
        <v>191</v>
      </c>
      <c r="B182" s="11" t="s">
        <v>1071</v>
      </c>
      <c r="C182" s="7">
        <f t="shared" si="8"/>
        <v>3</v>
      </c>
      <c r="D182" s="7" t="str">
        <f t="shared" si="9"/>
        <v>Mar</v>
      </c>
      <c r="E182" s="7" t="s">
        <v>1352</v>
      </c>
      <c r="F182" s="7" t="str">
        <f t="shared" si="10"/>
        <v>Ahmad Fauzi</v>
      </c>
      <c r="G182" s="7" t="s">
        <v>1357</v>
      </c>
      <c r="H182" s="7" t="s">
        <v>1364</v>
      </c>
      <c r="I182" s="7">
        <v>1</v>
      </c>
      <c r="J182" s="7" t="str">
        <f>INDEX(Master_Produk!$C$2:$C$11,MATCH(H182,Master_Produk!$A$2:$A$11,0))</f>
        <v>Furnitur</v>
      </c>
      <c r="K182" s="8">
        <f>INDEX(Master_Produk!$E$2:$E$11,MATCH(Data_Transaksi!H182,Master_Produk!$A$2:$A$11,0))</f>
        <v>950000</v>
      </c>
      <c r="L182" s="8">
        <f t="shared" si="11"/>
        <v>950000</v>
      </c>
      <c r="M182" s="8">
        <f>INDEX(Master_Target!$B$2:$M$4, MATCH(J182, Master_Target!$A$2:$A$4, 0), MATCH(TEXT(B182, "[$-421]mmmm"), Master_Target!$B$1:$M$1, 0))</f>
        <v>24000000</v>
      </c>
    </row>
    <row r="183" spans="1:13" x14ac:dyDescent="0.25">
      <c r="A183" s="7" t="s">
        <v>192</v>
      </c>
      <c r="B183" s="11" t="s">
        <v>1071</v>
      </c>
      <c r="C183" s="7">
        <f t="shared" si="8"/>
        <v>3</v>
      </c>
      <c r="D183" s="7" t="str">
        <f t="shared" si="9"/>
        <v>Mar</v>
      </c>
      <c r="E183" s="7" t="s">
        <v>1350</v>
      </c>
      <c r="F183" s="7" t="str">
        <f t="shared" si="10"/>
        <v>Andi Wijaya</v>
      </c>
      <c r="G183" s="7" t="s">
        <v>1357</v>
      </c>
      <c r="H183" s="7" t="s">
        <v>1365</v>
      </c>
      <c r="I183" s="7">
        <v>2</v>
      </c>
      <c r="J183" s="7" t="str">
        <f>INDEX(Master_Produk!$C$2:$C$11,MATCH(H183,Master_Produk!$A$2:$A$11,0))</f>
        <v>Elektronik</v>
      </c>
      <c r="K183" s="8">
        <f>INDEX(Master_Produk!$E$2:$E$11,MATCH(Data_Transaksi!H183,Master_Produk!$A$2:$A$11,0))</f>
        <v>1800000</v>
      </c>
      <c r="L183" s="8">
        <f t="shared" si="11"/>
        <v>3600000</v>
      </c>
      <c r="M183" s="8">
        <f>INDEX(Master_Target!$B$2:$M$4, MATCH(J183, Master_Target!$A$2:$A$4, 0), MATCH(TEXT(B183, "[$-421]mmmm"), Master_Target!$B$1:$M$1, 0))</f>
        <v>60000000</v>
      </c>
    </row>
    <row r="184" spans="1:13" x14ac:dyDescent="0.25">
      <c r="A184" s="7" t="s">
        <v>193</v>
      </c>
      <c r="B184" s="11" t="s">
        <v>1071</v>
      </c>
      <c r="C184" s="7">
        <f t="shared" si="8"/>
        <v>3</v>
      </c>
      <c r="D184" s="7" t="str">
        <f t="shared" si="9"/>
        <v>Mar</v>
      </c>
      <c r="E184" s="7" t="s">
        <v>1349</v>
      </c>
      <c r="F184" s="7" t="str">
        <f t="shared" si="10"/>
        <v>Dewi Lestari</v>
      </c>
      <c r="G184" s="7" t="s">
        <v>1358</v>
      </c>
      <c r="H184" s="7" t="s">
        <v>1368</v>
      </c>
      <c r="I184" s="7">
        <v>1</v>
      </c>
      <c r="J184" s="7" t="str">
        <f>INDEX(Master_Produk!$C$2:$C$11,MATCH(H184,Master_Produk!$A$2:$A$11,0))</f>
        <v>Furnitur</v>
      </c>
      <c r="K184" s="8">
        <f>INDEX(Master_Produk!$E$2:$E$11,MATCH(Data_Transaksi!H184,Master_Produk!$A$2:$A$11,0))</f>
        <v>650000</v>
      </c>
      <c r="L184" s="8">
        <f t="shared" si="11"/>
        <v>650000</v>
      </c>
      <c r="M184" s="8">
        <f>INDEX(Master_Target!$B$2:$M$4, MATCH(J184, Master_Target!$A$2:$A$4, 0), MATCH(TEXT(B184, "[$-421]mmmm"), Master_Target!$B$1:$M$1, 0))</f>
        <v>24000000</v>
      </c>
    </row>
    <row r="185" spans="1:13" x14ac:dyDescent="0.25">
      <c r="A185" s="7" t="s">
        <v>194</v>
      </c>
      <c r="B185" s="11" t="s">
        <v>1072</v>
      </c>
      <c r="C185" s="7">
        <f t="shared" si="8"/>
        <v>3</v>
      </c>
      <c r="D185" s="7" t="str">
        <f t="shared" si="9"/>
        <v>Mar</v>
      </c>
      <c r="E185" s="7" t="s">
        <v>1354</v>
      </c>
      <c r="F185" s="7" t="str">
        <f t="shared" si="10"/>
        <v>Mega Utami</v>
      </c>
      <c r="G185" s="7" t="s">
        <v>1359</v>
      </c>
      <c r="H185" s="7" t="s">
        <v>1362</v>
      </c>
      <c r="I185" s="7">
        <v>1</v>
      </c>
      <c r="J185" s="7" t="str">
        <f>INDEX(Master_Produk!$C$2:$C$11,MATCH(H185,Master_Produk!$A$2:$A$11,0))</f>
        <v>Pakaian</v>
      </c>
      <c r="K185" s="8">
        <f>INDEX(Master_Produk!$E$2:$E$11,MATCH(Data_Transaksi!H185,Master_Produk!$A$2:$A$11,0))</f>
        <v>350000</v>
      </c>
      <c r="L185" s="8">
        <f t="shared" si="11"/>
        <v>350000</v>
      </c>
      <c r="M185" s="8">
        <f>INDEX(Master_Target!$B$2:$M$4, MATCH(J185, Master_Target!$A$2:$A$4, 0), MATCH(TEXT(B185, "[$-421]mmmm"), Master_Target!$B$1:$M$1, 0))</f>
        <v>18000000</v>
      </c>
    </row>
    <row r="186" spans="1:13" x14ac:dyDescent="0.25">
      <c r="A186" s="7" t="s">
        <v>195</v>
      </c>
      <c r="B186" s="11" t="s">
        <v>1072</v>
      </c>
      <c r="C186" s="7">
        <f t="shared" si="8"/>
        <v>3</v>
      </c>
      <c r="D186" s="7" t="str">
        <f t="shared" si="9"/>
        <v>Mar</v>
      </c>
      <c r="E186" s="7" t="s">
        <v>1356</v>
      </c>
      <c r="F186" s="7" t="str">
        <f t="shared" si="10"/>
        <v>Eko Prasetyo</v>
      </c>
      <c r="G186" s="7" t="s">
        <v>1357</v>
      </c>
      <c r="H186" s="7" t="s">
        <v>1367</v>
      </c>
      <c r="I186" s="7">
        <v>3</v>
      </c>
      <c r="J186" s="7" t="str">
        <f>INDEX(Master_Produk!$C$2:$C$11,MATCH(H186,Master_Produk!$A$2:$A$11,0))</f>
        <v>Elektronik</v>
      </c>
      <c r="K186" s="8">
        <f>INDEX(Master_Produk!$E$2:$E$11,MATCH(Data_Transaksi!H186,Master_Produk!$A$2:$A$11,0))</f>
        <v>250000</v>
      </c>
      <c r="L186" s="8">
        <f t="shared" si="11"/>
        <v>750000</v>
      </c>
      <c r="M186" s="8">
        <f>INDEX(Master_Target!$B$2:$M$4, MATCH(J186, Master_Target!$A$2:$A$4, 0), MATCH(TEXT(B186, "[$-421]mmmm"), Master_Target!$B$1:$M$1, 0))</f>
        <v>60000000</v>
      </c>
    </row>
    <row r="187" spans="1:13" x14ac:dyDescent="0.25">
      <c r="A187" s="7" t="s">
        <v>196</v>
      </c>
      <c r="B187" s="11" t="s">
        <v>1073</v>
      </c>
      <c r="C187" s="7">
        <f t="shared" si="8"/>
        <v>3</v>
      </c>
      <c r="D187" s="7" t="str">
        <f t="shared" si="9"/>
        <v>Mar</v>
      </c>
      <c r="E187" s="7" t="s">
        <v>1355</v>
      </c>
      <c r="F187" s="7" t="str">
        <f t="shared" si="10"/>
        <v>Bambang H.</v>
      </c>
      <c r="G187" s="7" t="s">
        <v>1361</v>
      </c>
      <c r="H187" s="7" t="s">
        <v>1366</v>
      </c>
      <c r="I187" s="7">
        <v>1</v>
      </c>
      <c r="J187" s="7" t="str">
        <f>INDEX(Master_Produk!$C$2:$C$11,MATCH(H187,Master_Produk!$A$2:$A$11,0))</f>
        <v>Elektronik</v>
      </c>
      <c r="K187" s="8">
        <f>INDEX(Master_Produk!$E$2:$E$11,MATCH(Data_Transaksi!H187,Master_Produk!$A$2:$A$11,0))</f>
        <v>7500000</v>
      </c>
      <c r="L187" s="8">
        <f t="shared" si="11"/>
        <v>7500000</v>
      </c>
      <c r="M187" s="8">
        <f>INDEX(Master_Target!$B$2:$M$4, MATCH(J187, Master_Target!$A$2:$A$4, 0), MATCH(TEXT(B187, "[$-421]mmmm"), Master_Target!$B$1:$M$1, 0))</f>
        <v>60000000</v>
      </c>
    </row>
    <row r="188" spans="1:13" x14ac:dyDescent="0.25">
      <c r="A188" s="7" t="s">
        <v>197</v>
      </c>
      <c r="B188" s="11" t="s">
        <v>1074</v>
      </c>
      <c r="C188" s="7">
        <f t="shared" si="8"/>
        <v>3</v>
      </c>
      <c r="D188" s="7" t="str">
        <f t="shared" si="9"/>
        <v>Mar</v>
      </c>
      <c r="E188" s="7" t="s">
        <v>1352</v>
      </c>
      <c r="F188" s="7" t="str">
        <f t="shared" si="10"/>
        <v>Ahmad Fauzi</v>
      </c>
      <c r="G188" s="7" t="s">
        <v>1360</v>
      </c>
      <c r="H188" s="7" t="s">
        <v>1370</v>
      </c>
      <c r="I188" s="7">
        <v>2</v>
      </c>
      <c r="J188" s="7" t="str">
        <f>INDEX(Master_Produk!$C$2:$C$11,MATCH(H188,Master_Produk!$A$2:$A$11,0))</f>
        <v>Furnitur</v>
      </c>
      <c r="K188" s="8">
        <f>INDEX(Master_Produk!$E$2:$E$11,MATCH(Data_Transaksi!H188,Master_Produk!$A$2:$A$11,0))</f>
        <v>1200000</v>
      </c>
      <c r="L188" s="8">
        <f t="shared" si="11"/>
        <v>2400000</v>
      </c>
      <c r="M188" s="8">
        <f>INDEX(Master_Target!$B$2:$M$4, MATCH(J188, Master_Target!$A$2:$A$4, 0), MATCH(TEXT(B188, "[$-421]mmmm"), Master_Target!$B$1:$M$1, 0))</f>
        <v>24000000</v>
      </c>
    </row>
    <row r="189" spans="1:13" x14ac:dyDescent="0.25">
      <c r="A189" s="7" t="s">
        <v>198</v>
      </c>
      <c r="B189" s="11" t="s">
        <v>1074</v>
      </c>
      <c r="C189" s="7">
        <f t="shared" si="8"/>
        <v>3</v>
      </c>
      <c r="D189" s="7" t="str">
        <f t="shared" si="9"/>
        <v>Mar</v>
      </c>
      <c r="E189" s="7" t="s">
        <v>1355</v>
      </c>
      <c r="F189" s="7" t="str">
        <f t="shared" si="10"/>
        <v>Bambang H.</v>
      </c>
      <c r="G189" s="7" t="s">
        <v>1359</v>
      </c>
      <c r="H189" s="7" t="s">
        <v>1368</v>
      </c>
      <c r="I189" s="7">
        <v>1</v>
      </c>
      <c r="J189" s="7" t="str">
        <f>INDEX(Master_Produk!$C$2:$C$11,MATCH(H189,Master_Produk!$A$2:$A$11,0))</f>
        <v>Furnitur</v>
      </c>
      <c r="K189" s="8">
        <f>INDEX(Master_Produk!$E$2:$E$11,MATCH(Data_Transaksi!H189,Master_Produk!$A$2:$A$11,0))</f>
        <v>650000</v>
      </c>
      <c r="L189" s="8">
        <f t="shared" si="11"/>
        <v>650000</v>
      </c>
      <c r="M189" s="8">
        <f>INDEX(Master_Target!$B$2:$M$4, MATCH(J189, Master_Target!$A$2:$A$4, 0), MATCH(TEXT(B189, "[$-421]mmmm"), Master_Target!$B$1:$M$1, 0))</f>
        <v>24000000</v>
      </c>
    </row>
    <row r="190" spans="1:13" x14ac:dyDescent="0.25">
      <c r="A190" s="7" t="s">
        <v>199</v>
      </c>
      <c r="B190" s="11" t="s">
        <v>1075</v>
      </c>
      <c r="C190" s="7">
        <f t="shared" si="8"/>
        <v>3</v>
      </c>
      <c r="D190" s="7" t="str">
        <f t="shared" si="9"/>
        <v>Mar</v>
      </c>
      <c r="E190" s="7" t="s">
        <v>1347</v>
      </c>
      <c r="F190" s="7" t="str">
        <f t="shared" si="10"/>
        <v>Rina Marlina</v>
      </c>
      <c r="G190" s="7" t="s">
        <v>1361</v>
      </c>
      <c r="H190" s="7" t="s">
        <v>1364</v>
      </c>
      <c r="I190" s="7">
        <v>1</v>
      </c>
      <c r="J190" s="7" t="str">
        <f>INDEX(Master_Produk!$C$2:$C$11,MATCH(H190,Master_Produk!$A$2:$A$11,0))</f>
        <v>Furnitur</v>
      </c>
      <c r="K190" s="8">
        <f>INDEX(Master_Produk!$E$2:$E$11,MATCH(Data_Transaksi!H190,Master_Produk!$A$2:$A$11,0))</f>
        <v>950000</v>
      </c>
      <c r="L190" s="8">
        <f t="shared" si="11"/>
        <v>950000</v>
      </c>
      <c r="M190" s="8">
        <f>INDEX(Master_Target!$B$2:$M$4, MATCH(J190, Master_Target!$A$2:$A$4, 0), MATCH(TEXT(B190, "[$-421]mmmm"), Master_Target!$B$1:$M$1, 0))</f>
        <v>24000000</v>
      </c>
    </row>
    <row r="191" spans="1:13" x14ac:dyDescent="0.25">
      <c r="A191" s="7" t="s">
        <v>200</v>
      </c>
      <c r="B191" s="11" t="s">
        <v>1075</v>
      </c>
      <c r="C191" s="7">
        <f t="shared" si="8"/>
        <v>3</v>
      </c>
      <c r="D191" s="7" t="str">
        <f t="shared" si="9"/>
        <v>Mar</v>
      </c>
      <c r="E191" s="7" t="s">
        <v>1350</v>
      </c>
      <c r="F191" s="7" t="str">
        <f t="shared" si="10"/>
        <v>Andi Wijaya</v>
      </c>
      <c r="G191" s="7" t="s">
        <v>1358</v>
      </c>
      <c r="H191" s="7" t="s">
        <v>1368</v>
      </c>
      <c r="I191" s="7">
        <v>1</v>
      </c>
      <c r="J191" s="7" t="str">
        <f>INDEX(Master_Produk!$C$2:$C$11,MATCH(H191,Master_Produk!$A$2:$A$11,0))</f>
        <v>Furnitur</v>
      </c>
      <c r="K191" s="8">
        <f>INDEX(Master_Produk!$E$2:$E$11,MATCH(Data_Transaksi!H191,Master_Produk!$A$2:$A$11,0))</f>
        <v>650000</v>
      </c>
      <c r="L191" s="8">
        <f t="shared" si="11"/>
        <v>650000</v>
      </c>
      <c r="M191" s="8">
        <f>INDEX(Master_Target!$B$2:$M$4, MATCH(J191, Master_Target!$A$2:$A$4, 0), MATCH(TEXT(B191, "[$-421]mmmm"), Master_Target!$B$1:$M$1, 0))</f>
        <v>24000000</v>
      </c>
    </row>
    <row r="192" spans="1:13" x14ac:dyDescent="0.25">
      <c r="A192" s="7" t="s">
        <v>201</v>
      </c>
      <c r="B192" s="11" t="s">
        <v>1075</v>
      </c>
      <c r="C192" s="7">
        <f t="shared" si="8"/>
        <v>3</v>
      </c>
      <c r="D192" s="7" t="str">
        <f t="shared" si="9"/>
        <v>Mar</v>
      </c>
      <c r="E192" s="7" t="s">
        <v>1350</v>
      </c>
      <c r="F192" s="7" t="str">
        <f t="shared" si="10"/>
        <v>Andi Wijaya</v>
      </c>
      <c r="G192" s="7" t="s">
        <v>1358</v>
      </c>
      <c r="H192" s="7" t="s">
        <v>1371</v>
      </c>
      <c r="I192" s="7">
        <v>3</v>
      </c>
      <c r="J192" s="7" t="str">
        <f>INDEX(Master_Produk!$C$2:$C$11,MATCH(H192,Master_Produk!$A$2:$A$11,0))</f>
        <v>Pakaian</v>
      </c>
      <c r="K192" s="8">
        <f>INDEX(Master_Produk!$E$2:$E$11,MATCH(Data_Transaksi!H192,Master_Produk!$A$2:$A$11,0))</f>
        <v>280000</v>
      </c>
      <c r="L192" s="8">
        <f t="shared" si="11"/>
        <v>840000</v>
      </c>
      <c r="M192" s="8">
        <f>INDEX(Master_Target!$B$2:$M$4, MATCH(J192, Master_Target!$A$2:$A$4, 0), MATCH(TEXT(B192, "[$-421]mmmm"), Master_Target!$B$1:$M$1, 0))</f>
        <v>18000000</v>
      </c>
    </row>
    <row r="193" spans="1:13" x14ac:dyDescent="0.25">
      <c r="A193" s="7" t="s">
        <v>202</v>
      </c>
      <c r="B193" s="11" t="s">
        <v>1075</v>
      </c>
      <c r="C193" s="7">
        <f t="shared" si="8"/>
        <v>3</v>
      </c>
      <c r="D193" s="7" t="str">
        <f t="shared" si="9"/>
        <v>Mar</v>
      </c>
      <c r="E193" s="7" t="s">
        <v>1347</v>
      </c>
      <c r="F193" s="7" t="str">
        <f t="shared" si="10"/>
        <v>Rina Marlina</v>
      </c>
      <c r="G193" s="7" t="s">
        <v>1357</v>
      </c>
      <c r="H193" s="7" t="s">
        <v>1367</v>
      </c>
      <c r="I193" s="7">
        <v>4</v>
      </c>
      <c r="J193" s="7" t="str">
        <f>INDEX(Master_Produk!$C$2:$C$11,MATCH(H193,Master_Produk!$A$2:$A$11,0))</f>
        <v>Elektronik</v>
      </c>
      <c r="K193" s="8">
        <f>INDEX(Master_Produk!$E$2:$E$11,MATCH(Data_Transaksi!H193,Master_Produk!$A$2:$A$11,0))</f>
        <v>250000</v>
      </c>
      <c r="L193" s="8">
        <f t="shared" si="11"/>
        <v>1000000</v>
      </c>
      <c r="M193" s="8">
        <f>INDEX(Master_Target!$B$2:$M$4, MATCH(J193, Master_Target!$A$2:$A$4, 0), MATCH(TEXT(B193, "[$-421]mmmm"), Master_Target!$B$1:$M$1, 0))</f>
        <v>60000000</v>
      </c>
    </row>
    <row r="194" spans="1:13" x14ac:dyDescent="0.25">
      <c r="A194" s="7" t="s">
        <v>203</v>
      </c>
      <c r="B194" s="11" t="s">
        <v>1076</v>
      </c>
      <c r="C194" s="7">
        <f t="shared" si="8"/>
        <v>3</v>
      </c>
      <c r="D194" s="7" t="str">
        <f t="shared" si="9"/>
        <v>Mar</v>
      </c>
      <c r="E194" s="7" t="s">
        <v>1356</v>
      </c>
      <c r="F194" s="7" t="str">
        <f t="shared" si="10"/>
        <v>Eko Prasetyo</v>
      </c>
      <c r="G194" s="7" t="s">
        <v>1358</v>
      </c>
      <c r="H194" s="7" t="s">
        <v>1368</v>
      </c>
      <c r="I194" s="7">
        <v>3</v>
      </c>
      <c r="J194" s="7" t="str">
        <f>INDEX(Master_Produk!$C$2:$C$11,MATCH(H194,Master_Produk!$A$2:$A$11,0))</f>
        <v>Furnitur</v>
      </c>
      <c r="K194" s="8">
        <f>INDEX(Master_Produk!$E$2:$E$11,MATCH(Data_Transaksi!H194,Master_Produk!$A$2:$A$11,0))</f>
        <v>650000</v>
      </c>
      <c r="L194" s="8">
        <f t="shared" si="11"/>
        <v>1950000</v>
      </c>
      <c r="M194" s="8">
        <f>INDEX(Master_Target!$B$2:$M$4, MATCH(J194, Master_Target!$A$2:$A$4, 0), MATCH(TEXT(B194, "[$-421]mmmm"), Master_Target!$B$1:$M$1, 0))</f>
        <v>24000000</v>
      </c>
    </row>
    <row r="195" spans="1:13" x14ac:dyDescent="0.25">
      <c r="A195" s="7" t="s">
        <v>204</v>
      </c>
      <c r="B195" s="11" t="s">
        <v>1076</v>
      </c>
      <c r="C195" s="7">
        <f t="shared" ref="C195:C258" si="12">MONTH(B195)</f>
        <v>3</v>
      </c>
      <c r="D195" s="7" t="str">
        <f t="shared" ref="D195:D258" si="13">TEXT(B195,"mmm")</f>
        <v>Mar</v>
      </c>
      <c r="E195" s="7" t="s">
        <v>1348</v>
      </c>
      <c r="F195" s="7" t="str">
        <f t="shared" ref="F195:F258" si="14">TRIM(PROPER(E195))</f>
        <v>Budi Santoso</v>
      </c>
      <c r="G195" s="7" t="s">
        <v>1360</v>
      </c>
      <c r="H195" s="7" t="s">
        <v>1365</v>
      </c>
      <c r="I195" s="7">
        <v>1</v>
      </c>
      <c r="J195" s="7" t="str">
        <f>INDEX(Master_Produk!$C$2:$C$11,MATCH(H195,Master_Produk!$A$2:$A$11,0))</f>
        <v>Elektronik</v>
      </c>
      <c r="K195" s="8">
        <f>INDEX(Master_Produk!$E$2:$E$11,MATCH(Data_Transaksi!H195,Master_Produk!$A$2:$A$11,0))</f>
        <v>1800000</v>
      </c>
      <c r="L195" s="8">
        <f t="shared" ref="L195:L258" si="15">I195*K195</f>
        <v>1800000</v>
      </c>
      <c r="M195" s="8">
        <f>INDEX(Master_Target!$B$2:$M$4, MATCH(J195, Master_Target!$A$2:$A$4, 0), MATCH(TEXT(B195, "[$-421]mmmm"), Master_Target!$B$1:$M$1, 0))</f>
        <v>60000000</v>
      </c>
    </row>
    <row r="196" spans="1:13" x14ac:dyDescent="0.25">
      <c r="A196" s="7" t="s">
        <v>205</v>
      </c>
      <c r="B196" s="11" t="s">
        <v>1077</v>
      </c>
      <c r="C196" s="7">
        <f t="shared" si="12"/>
        <v>3</v>
      </c>
      <c r="D196" s="7" t="str">
        <f t="shared" si="13"/>
        <v>Mar</v>
      </c>
      <c r="E196" s="7" t="s">
        <v>1353</v>
      </c>
      <c r="F196" s="7" t="str">
        <f t="shared" si="14"/>
        <v>Sari Yuliana</v>
      </c>
      <c r="G196" s="7" t="s">
        <v>1361</v>
      </c>
      <c r="H196" s="7" t="s">
        <v>1371</v>
      </c>
      <c r="I196" s="7">
        <v>2</v>
      </c>
      <c r="J196" s="7" t="str">
        <f>INDEX(Master_Produk!$C$2:$C$11,MATCH(H196,Master_Produk!$A$2:$A$11,0))</f>
        <v>Pakaian</v>
      </c>
      <c r="K196" s="8">
        <f>INDEX(Master_Produk!$E$2:$E$11,MATCH(Data_Transaksi!H196,Master_Produk!$A$2:$A$11,0))</f>
        <v>280000</v>
      </c>
      <c r="L196" s="8">
        <f t="shared" si="15"/>
        <v>560000</v>
      </c>
      <c r="M196" s="8">
        <f>INDEX(Master_Target!$B$2:$M$4, MATCH(J196, Master_Target!$A$2:$A$4, 0), MATCH(TEXT(B196, "[$-421]mmmm"), Master_Target!$B$1:$M$1, 0))</f>
        <v>18000000</v>
      </c>
    </row>
    <row r="197" spans="1:13" x14ac:dyDescent="0.25">
      <c r="A197" s="7" t="s">
        <v>206</v>
      </c>
      <c r="B197" s="11" t="s">
        <v>1077</v>
      </c>
      <c r="C197" s="7">
        <f t="shared" si="12"/>
        <v>3</v>
      </c>
      <c r="D197" s="7" t="str">
        <f t="shared" si="13"/>
        <v>Mar</v>
      </c>
      <c r="E197" s="7" t="s">
        <v>1352</v>
      </c>
      <c r="F197" s="7" t="str">
        <f t="shared" si="14"/>
        <v>Ahmad Fauzi</v>
      </c>
      <c r="G197" s="7" t="s">
        <v>1359</v>
      </c>
      <c r="H197" s="7" t="s">
        <v>1370</v>
      </c>
      <c r="I197" s="7">
        <v>1</v>
      </c>
      <c r="J197" s="7" t="str">
        <f>INDEX(Master_Produk!$C$2:$C$11,MATCH(H197,Master_Produk!$A$2:$A$11,0))</f>
        <v>Furnitur</v>
      </c>
      <c r="K197" s="8">
        <f>INDEX(Master_Produk!$E$2:$E$11,MATCH(Data_Transaksi!H197,Master_Produk!$A$2:$A$11,0))</f>
        <v>1200000</v>
      </c>
      <c r="L197" s="8">
        <f t="shared" si="15"/>
        <v>1200000</v>
      </c>
      <c r="M197" s="8">
        <f>INDEX(Master_Target!$B$2:$M$4, MATCH(J197, Master_Target!$A$2:$A$4, 0), MATCH(TEXT(B197, "[$-421]mmmm"), Master_Target!$B$1:$M$1, 0))</f>
        <v>24000000</v>
      </c>
    </row>
    <row r="198" spans="1:13" x14ac:dyDescent="0.25">
      <c r="A198" s="7" t="s">
        <v>207</v>
      </c>
      <c r="B198" s="11" t="s">
        <v>1078</v>
      </c>
      <c r="C198" s="7">
        <f t="shared" si="12"/>
        <v>3</v>
      </c>
      <c r="D198" s="7" t="str">
        <f t="shared" si="13"/>
        <v>Mar</v>
      </c>
      <c r="E198" s="7" t="s">
        <v>1350</v>
      </c>
      <c r="F198" s="7" t="str">
        <f t="shared" si="14"/>
        <v>Andi Wijaya</v>
      </c>
      <c r="G198" s="7" t="s">
        <v>1357</v>
      </c>
      <c r="H198" s="7" t="s">
        <v>1367</v>
      </c>
      <c r="I198" s="7">
        <v>1</v>
      </c>
      <c r="J198" s="7" t="str">
        <f>INDEX(Master_Produk!$C$2:$C$11,MATCH(H198,Master_Produk!$A$2:$A$11,0))</f>
        <v>Elektronik</v>
      </c>
      <c r="K198" s="8">
        <f>INDEX(Master_Produk!$E$2:$E$11,MATCH(Data_Transaksi!H198,Master_Produk!$A$2:$A$11,0))</f>
        <v>250000</v>
      </c>
      <c r="L198" s="8">
        <f t="shared" si="15"/>
        <v>250000</v>
      </c>
      <c r="M198" s="8">
        <f>INDEX(Master_Target!$B$2:$M$4, MATCH(J198, Master_Target!$A$2:$A$4, 0), MATCH(TEXT(B198, "[$-421]mmmm"), Master_Target!$B$1:$M$1, 0))</f>
        <v>60000000</v>
      </c>
    </row>
    <row r="199" spans="1:13" x14ac:dyDescent="0.25">
      <c r="A199" s="7" t="s">
        <v>208</v>
      </c>
      <c r="B199" s="11" t="s">
        <v>1079</v>
      </c>
      <c r="C199" s="7">
        <f t="shared" si="12"/>
        <v>3</v>
      </c>
      <c r="D199" s="7" t="str">
        <f t="shared" si="13"/>
        <v>Mar</v>
      </c>
      <c r="E199" s="7" t="s">
        <v>1353</v>
      </c>
      <c r="F199" s="7" t="str">
        <f t="shared" si="14"/>
        <v>Sari Yuliana</v>
      </c>
      <c r="G199" s="7" t="s">
        <v>1359</v>
      </c>
      <c r="H199" s="7" t="s">
        <v>1368</v>
      </c>
      <c r="I199" s="7">
        <v>4</v>
      </c>
      <c r="J199" s="7" t="str">
        <f>INDEX(Master_Produk!$C$2:$C$11,MATCH(H199,Master_Produk!$A$2:$A$11,0))</f>
        <v>Furnitur</v>
      </c>
      <c r="K199" s="8">
        <f>INDEX(Master_Produk!$E$2:$E$11,MATCH(Data_Transaksi!H199,Master_Produk!$A$2:$A$11,0))</f>
        <v>650000</v>
      </c>
      <c r="L199" s="8">
        <f t="shared" si="15"/>
        <v>2600000</v>
      </c>
      <c r="M199" s="8">
        <f>INDEX(Master_Target!$B$2:$M$4, MATCH(J199, Master_Target!$A$2:$A$4, 0), MATCH(TEXT(B199, "[$-421]mmmm"), Master_Target!$B$1:$M$1, 0))</f>
        <v>24000000</v>
      </c>
    </row>
    <row r="200" spans="1:13" x14ac:dyDescent="0.25">
      <c r="A200" s="7" t="s">
        <v>209</v>
      </c>
      <c r="B200" s="11" t="s">
        <v>1080</v>
      </c>
      <c r="C200" s="7">
        <f t="shared" si="12"/>
        <v>3</v>
      </c>
      <c r="D200" s="7" t="str">
        <f t="shared" si="13"/>
        <v>Mar</v>
      </c>
      <c r="E200" s="7" t="s">
        <v>1350</v>
      </c>
      <c r="F200" s="7" t="str">
        <f t="shared" si="14"/>
        <v>Andi Wijaya</v>
      </c>
      <c r="G200" s="7" t="s">
        <v>1361</v>
      </c>
      <c r="H200" s="7" t="s">
        <v>1371</v>
      </c>
      <c r="I200" s="7">
        <v>1</v>
      </c>
      <c r="J200" s="7" t="str">
        <f>INDEX(Master_Produk!$C$2:$C$11,MATCH(H200,Master_Produk!$A$2:$A$11,0))</f>
        <v>Pakaian</v>
      </c>
      <c r="K200" s="8">
        <f>INDEX(Master_Produk!$E$2:$E$11,MATCH(Data_Transaksi!H200,Master_Produk!$A$2:$A$11,0))</f>
        <v>280000</v>
      </c>
      <c r="L200" s="8">
        <f t="shared" si="15"/>
        <v>280000</v>
      </c>
      <c r="M200" s="8">
        <f>INDEX(Master_Target!$B$2:$M$4, MATCH(J200, Master_Target!$A$2:$A$4, 0), MATCH(TEXT(B200, "[$-421]mmmm"), Master_Target!$B$1:$M$1, 0))</f>
        <v>18000000</v>
      </c>
    </row>
    <row r="201" spans="1:13" x14ac:dyDescent="0.25">
      <c r="A201" s="7" t="s">
        <v>210</v>
      </c>
      <c r="B201" s="11" t="s">
        <v>1080</v>
      </c>
      <c r="C201" s="7">
        <f t="shared" si="12"/>
        <v>3</v>
      </c>
      <c r="D201" s="7" t="str">
        <f t="shared" si="13"/>
        <v>Mar</v>
      </c>
      <c r="E201" s="7" t="s">
        <v>1348</v>
      </c>
      <c r="F201" s="7" t="str">
        <f t="shared" si="14"/>
        <v>Budi Santoso</v>
      </c>
      <c r="G201" s="7" t="s">
        <v>1360</v>
      </c>
      <c r="H201" s="7" t="s">
        <v>1368</v>
      </c>
      <c r="I201" s="7">
        <v>1</v>
      </c>
      <c r="J201" s="7" t="str">
        <f>INDEX(Master_Produk!$C$2:$C$11,MATCH(H201,Master_Produk!$A$2:$A$11,0))</f>
        <v>Furnitur</v>
      </c>
      <c r="K201" s="8">
        <f>INDEX(Master_Produk!$E$2:$E$11,MATCH(Data_Transaksi!H201,Master_Produk!$A$2:$A$11,0))</f>
        <v>650000</v>
      </c>
      <c r="L201" s="8">
        <f t="shared" si="15"/>
        <v>650000</v>
      </c>
      <c r="M201" s="8">
        <f>INDEX(Master_Target!$B$2:$M$4, MATCH(J201, Master_Target!$A$2:$A$4, 0), MATCH(TEXT(B201, "[$-421]mmmm"), Master_Target!$B$1:$M$1, 0))</f>
        <v>24000000</v>
      </c>
    </row>
    <row r="202" spans="1:13" x14ac:dyDescent="0.25">
      <c r="A202" s="7" t="s">
        <v>211</v>
      </c>
      <c r="B202" s="11" t="s">
        <v>1080</v>
      </c>
      <c r="C202" s="7">
        <f t="shared" si="12"/>
        <v>3</v>
      </c>
      <c r="D202" s="7" t="str">
        <f t="shared" si="13"/>
        <v>Mar</v>
      </c>
      <c r="E202" s="7" t="s">
        <v>1347</v>
      </c>
      <c r="F202" s="7" t="str">
        <f t="shared" si="14"/>
        <v>Rina Marlina</v>
      </c>
      <c r="G202" s="7" t="s">
        <v>1361</v>
      </c>
      <c r="H202" s="7" t="s">
        <v>1371</v>
      </c>
      <c r="I202" s="7">
        <v>1</v>
      </c>
      <c r="J202" s="7" t="str">
        <f>INDEX(Master_Produk!$C$2:$C$11,MATCH(H202,Master_Produk!$A$2:$A$11,0))</f>
        <v>Pakaian</v>
      </c>
      <c r="K202" s="8">
        <f>INDEX(Master_Produk!$E$2:$E$11,MATCH(Data_Transaksi!H202,Master_Produk!$A$2:$A$11,0))</f>
        <v>280000</v>
      </c>
      <c r="L202" s="8">
        <f t="shared" si="15"/>
        <v>280000</v>
      </c>
      <c r="M202" s="8">
        <f>INDEX(Master_Target!$B$2:$M$4, MATCH(J202, Master_Target!$A$2:$A$4, 0), MATCH(TEXT(B202, "[$-421]mmmm"), Master_Target!$B$1:$M$1, 0))</f>
        <v>18000000</v>
      </c>
    </row>
    <row r="203" spans="1:13" x14ac:dyDescent="0.25">
      <c r="A203" s="7" t="s">
        <v>212</v>
      </c>
      <c r="B203" s="11" t="s">
        <v>1080</v>
      </c>
      <c r="C203" s="7">
        <f t="shared" si="12"/>
        <v>3</v>
      </c>
      <c r="D203" s="7" t="str">
        <f t="shared" si="13"/>
        <v>Mar</v>
      </c>
      <c r="E203" s="7" t="s">
        <v>1348</v>
      </c>
      <c r="F203" s="7" t="str">
        <f t="shared" si="14"/>
        <v>Budi Santoso</v>
      </c>
      <c r="G203" s="7" t="s">
        <v>1361</v>
      </c>
      <c r="H203" s="7" t="s">
        <v>1363</v>
      </c>
      <c r="I203" s="7">
        <v>1</v>
      </c>
      <c r="J203" s="7" t="str">
        <f>INDEX(Master_Produk!$C$2:$C$11,MATCH(H203,Master_Produk!$A$2:$A$11,0))</f>
        <v>Pakaian</v>
      </c>
      <c r="K203" s="8">
        <f>INDEX(Master_Produk!$E$2:$E$11,MATCH(Data_Transaksi!H203,Master_Produk!$A$2:$A$11,0))</f>
        <v>250000</v>
      </c>
      <c r="L203" s="8">
        <f t="shared" si="15"/>
        <v>250000</v>
      </c>
      <c r="M203" s="8">
        <f>INDEX(Master_Target!$B$2:$M$4, MATCH(J203, Master_Target!$A$2:$A$4, 0), MATCH(TEXT(B203, "[$-421]mmmm"), Master_Target!$B$1:$M$1, 0))</f>
        <v>18000000</v>
      </c>
    </row>
    <row r="204" spans="1:13" x14ac:dyDescent="0.25">
      <c r="A204" s="7" t="s">
        <v>213</v>
      </c>
      <c r="B204" s="11" t="s">
        <v>1081</v>
      </c>
      <c r="C204" s="7">
        <f t="shared" si="12"/>
        <v>3</v>
      </c>
      <c r="D204" s="7" t="str">
        <f t="shared" si="13"/>
        <v>Mar</v>
      </c>
      <c r="E204" s="7" t="s">
        <v>1350</v>
      </c>
      <c r="F204" s="7" t="str">
        <f t="shared" si="14"/>
        <v>Andi Wijaya</v>
      </c>
      <c r="G204" s="7" t="s">
        <v>1357</v>
      </c>
      <c r="H204" s="7" t="s">
        <v>1362</v>
      </c>
      <c r="I204" s="7">
        <v>1</v>
      </c>
      <c r="J204" s="7" t="str">
        <f>INDEX(Master_Produk!$C$2:$C$11,MATCH(H204,Master_Produk!$A$2:$A$11,0))</f>
        <v>Pakaian</v>
      </c>
      <c r="K204" s="8">
        <f>INDEX(Master_Produk!$E$2:$E$11,MATCH(Data_Transaksi!H204,Master_Produk!$A$2:$A$11,0))</f>
        <v>350000</v>
      </c>
      <c r="L204" s="8">
        <f t="shared" si="15"/>
        <v>350000</v>
      </c>
      <c r="M204" s="8">
        <f>INDEX(Master_Target!$B$2:$M$4, MATCH(J204, Master_Target!$A$2:$A$4, 0), MATCH(TEXT(B204, "[$-421]mmmm"), Master_Target!$B$1:$M$1, 0))</f>
        <v>18000000</v>
      </c>
    </row>
    <row r="205" spans="1:13" x14ac:dyDescent="0.25">
      <c r="A205" s="7" t="s">
        <v>214</v>
      </c>
      <c r="B205" s="11" t="s">
        <v>1081</v>
      </c>
      <c r="C205" s="7">
        <f t="shared" si="12"/>
        <v>3</v>
      </c>
      <c r="D205" s="7" t="str">
        <f t="shared" si="13"/>
        <v>Mar</v>
      </c>
      <c r="E205" s="7" t="s">
        <v>1347</v>
      </c>
      <c r="F205" s="7" t="str">
        <f t="shared" si="14"/>
        <v>Rina Marlina</v>
      </c>
      <c r="G205" s="7" t="s">
        <v>1359</v>
      </c>
      <c r="H205" s="7" t="s">
        <v>1367</v>
      </c>
      <c r="I205" s="7">
        <v>2</v>
      </c>
      <c r="J205" s="7" t="str">
        <f>INDEX(Master_Produk!$C$2:$C$11,MATCH(H205,Master_Produk!$A$2:$A$11,0))</f>
        <v>Elektronik</v>
      </c>
      <c r="K205" s="8">
        <f>INDEX(Master_Produk!$E$2:$E$11,MATCH(Data_Transaksi!H205,Master_Produk!$A$2:$A$11,0))</f>
        <v>250000</v>
      </c>
      <c r="L205" s="8">
        <f t="shared" si="15"/>
        <v>500000</v>
      </c>
      <c r="M205" s="8">
        <f>INDEX(Master_Target!$B$2:$M$4, MATCH(J205, Master_Target!$A$2:$A$4, 0), MATCH(TEXT(B205, "[$-421]mmmm"), Master_Target!$B$1:$M$1, 0))</f>
        <v>60000000</v>
      </c>
    </row>
    <row r="206" spans="1:13" x14ac:dyDescent="0.25">
      <c r="A206" s="7" t="s">
        <v>215</v>
      </c>
      <c r="B206" s="11" t="s">
        <v>1081</v>
      </c>
      <c r="C206" s="7">
        <f t="shared" si="12"/>
        <v>3</v>
      </c>
      <c r="D206" s="7" t="str">
        <f t="shared" si="13"/>
        <v>Mar</v>
      </c>
      <c r="E206" s="7" t="s">
        <v>1348</v>
      </c>
      <c r="F206" s="7" t="str">
        <f t="shared" si="14"/>
        <v>Budi Santoso</v>
      </c>
      <c r="G206" s="7" t="s">
        <v>1361</v>
      </c>
      <c r="H206" s="7" t="s">
        <v>1364</v>
      </c>
      <c r="I206" s="7">
        <v>2</v>
      </c>
      <c r="J206" s="7" t="str">
        <f>INDEX(Master_Produk!$C$2:$C$11,MATCH(H206,Master_Produk!$A$2:$A$11,0))</f>
        <v>Furnitur</v>
      </c>
      <c r="K206" s="8">
        <f>INDEX(Master_Produk!$E$2:$E$11,MATCH(Data_Transaksi!H206,Master_Produk!$A$2:$A$11,0))</f>
        <v>950000</v>
      </c>
      <c r="L206" s="8">
        <f t="shared" si="15"/>
        <v>1900000</v>
      </c>
      <c r="M206" s="8">
        <f>INDEX(Master_Target!$B$2:$M$4, MATCH(J206, Master_Target!$A$2:$A$4, 0), MATCH(TEXT(B206, "[$-421]mmmm"), Master_Target!$B$1:$M$1, 0))</f>
        <v>24000000</v>
      </c>
    </row>
    <row r="207" spans="1:13" x14ac:dyDescent="0.25">
      <c r="A207" s="7" t="s">
        <v>216</v>
      </c>
      <c r="B207" s="11" t="s">
        <v>1082</v>
      </c>
      <c r="C207" s="7">
        <f t="shared" si="12"/>
        <v>3</v>
      </c>
      <c r="D207" s="7" t="str">
        <f t="shared" si="13"/>
        <v>Mar</v>
      </c>
      <c r="E207" s="7" t="s">
        <v>1356</v>
      </c>
      <c r="F207" s="7" t="str">
        <f t="shared" si="14"/>
        <v>Eko Prasetyo</v>
      </c>
      <c r="G207" s="7" t="s">
        <v>1361</v>
      </c>
      <c r="H207" s="7" t="s">
        <v>1364</v>
      </c>
      <c r="I207" s="7">
        <v>4</v>
      </c>
      <c r="J207" s="7" t="str">
        <f>INDEX(Master_Produk!$C$2:$C$11,MATCH(H207,Master_Produk!$A$2:$A$11,0))</f>
        <v>Furnitur</v>
      </c>
      <c r="K207" s="8">
        <f>INDEX(Master_Produk!$E$2:$E$11,MATCH(Data_Transaksi!H207,Master_Produk!$A$2:$A$11,0))</f>
        <v>950000</v>
      </c>
      <c r="L207" s="8">
        <f t="shared" si="15"/>
        <v>3800000</v>
      </c>
      <c r="M207" s="8">
        <f>INDEX(Master_Target!$B$2:$M$4, MATCH(J207, Master_Target!$A$2:$A$4, 0), MATCH(TEXT(B207, "[$-421]mmmm"), Master_Target!$B$1:$M$1, 0))</f>
        <v>24000000</v>
      </c>
    </row>
    <row r="208" spans="1:13" x14ac:dyDescent="0.25">
      <c r="A208" s="7" t="s">
        <v>217</v>
      </c>
      <c r="B208" s="11" t="s">
        <v>1082</v>
      </c>
      <c r="C208" s="7">
        <f t="shared" si="12"/>
        <v>3</v>
      </c>
      <c r="D208" s="7" t="str">
        <f t="shared" si="13"/>
        <v>Mar</v>
      </c>
      <c r="E208" s="7" t="s">
        <v>1347</v>
      </c>
      <c r="F208" s="7" t="str">
        <f t="shared" si="14"/>
        <v>Rina Marlina</v>
      </c>
      <c r="G208" s="7" t="s">
        <v>1360</v>
      </c>
      <c r="H208" s="7" t="s">
        <v>1363</v>
      </c>
      <c r="I208" s="7">
        <v>3</v>
      </c>
      <c r="J208" s="7" t="str">
        <f>INDEX(Master_Produk!$C$2:$C$11,MATCH(H208,Master_Produk!$A$2:$A$11,0))</f>
        <v>Pakaian</v>
      </c>
      <c r="K208" s="8">
        <f>INDEX(Master_Produk!$E$2:$E$11,MATCH(Data_Transaksi!H208,Master_Produk!$A$2:$A$11,0))</f>
        <v>250000</v>
      </c>
      <c r="L208" s="8">
        <f t="shared" si="15"/>
        <v>750000</v>
      </c>
      <c r="M208" s="8">
        <f>INDEX(Master_Target!$B$2:$M$4, MATCH(J208, Master_Target!$A$2:$A$4, 0), MATCH(TEXT(B208, "[$-421]mmmm"), Master_Target!$B$1:$M$1, 0))</f>
        <v>18000000</v>
      </c>
    </row>
    <row r="209" spans="1:13" x14ac:dyDescent="0.25">
      <c r="A209" s="7" t="s">
        <v>218</v>
      </c>
      <c r="B209" s="11" t="s">
        <v>1082</v>
      </c>
      <c r="C209" s="7">
        <f t="shared" si="12"/>
        <v>3</v>
      </c>
      <c r="D209" s="7" t="str">
        <f t="shared" si="13"/>
        <v>Mar</v>
      </c>
      <c r="E209" s="7" t="s">
        <v>1352</v>
      </c>
      <c r="F209" s="7" t="str">
        <f t="shared" si="14"/>
        <v>Ahmad Fauzi</v>
      </c>
      <c r="G209" s="7" t="s">
        <v>1358</v>
      </c>
      <c r="H209" s="7" t="s">
        <v>1368</v>
      </c>
      <c r="I209" s="7">
        <v>1</v>
      </c>
      <c r="J209" s="7" t="str">
        <f>INDEX(Master_Produk!$C$2:$C$11,MATCH(H209,Master_Produk!$A$2:$A$11,0))</f>
        <v>Furnitur</v>
      </c>
      <c r="K209" s="8">
        <f>INDEX(Master_Produk!$E$2:$E$11,MATCH(Data_Transaksi!H209,Master_Produk!$A$2:$A$11,0))</f>
        <v>650000</v>
      </c>
      <c r="L209" s="8">
        <f t="shared" si="15"/>
        <v>650000</v>
      </c>
      <c r="M209" s="8">
        <f>INDEX(Master_Target!$B$2:$M$4, MATCH(J209, Master_Target!$A$2:$A$4, 0), MATCH(TEXT(B209, "[$-421]mmmm"), Master_Target!$B$1:$M$1, 0))</f>
        <v>24000000</v>
      </c>
    </row>
    <row r="210" spans="1:13" x14ac:dyDescent="0.25">
      <c r="A210" s="7" t="s">
        <v>219</v>
      </c>
      <c r="B210" s="11" t="s">
        <v>1083</v>
      </c>
      <c r="C210" s="7">
        <f t="shared" si="12"/>
        <v>3</v>
      </c>
      <c r="D210" s="7" t="str">
        <f t="shared" si="13"/>
        <v>Mar</v>
      </c>
      <c r="E210" s="7" t="s">
        <v>1350</v>
      </c>
      <c r="F210" s="7" t="str">
        <f t="shared" si="14"/>
        <v>Andi Wijaya</v>
      </c>
      <c r="G210" s="7" t="s">
        <v>1360</v>
      </c>
      <c r="H210" s="7" t="s">
        <v>1363</v>
      </c>
      <c r="I210" s="7">
        <v>1</v>
      </c>
      <c r="J210" s="7" t="str">
        <f>INDEX(Master_Produk!$C$2:$C$11,MATCH(H210,Master_Produk!$A$2:$A$11,0))</f>
        <v>Pakaian</v>
      </c>
      <c r="K210" s="8">
        <f>INDEX(Master_Produk!$E$2:$E$11,MATCH(Data_Transaksi!H210,Master_Produk!$A$2:$A$11,0))</f>
        <v>250000</v>
      </c>
      <c r="L210" s="8">
        <f t="shared" si="15"/>
        <v>250000</v>
      </c>
      <c r="M210" s="8">
        <f>INDEX(Master_Target!$B$2:$M$4, MATCH(J210, Master_Target!$A$2:$A$4, 0), MATCH(TEXT(B210, "[$-421]mmmm"), Master_Target!$B$1:$M$1, 0))</f>
        <v>18000000</v>
      </c>
    </row>
    <row r="211" spans="1:13" x14ac:dyDescent="0.25">
      <c r="A211" s="7" t="s">
        <v>220</v>
      </c>
      <c r="B211" s="11" t="s">
        <v>1084</v>
      </c>
      <c r="C211" s="7">
        <f t="shared" si="12"/>
        <v>3</v>
      </c>
      <c r="D211" s="7" t="str">
        <f t="shared" si="13"/>
        <v>Mar</v>
      </c>
      <c r="E211" s="7" t="s">
        <v>1349</v>
      </c>
      <c r="F211" s="7" t="str">
        <f t="shared" si="14"/>
        <v>Dewi Lestari</v>
      </c>
      <c r="G211" s="7" t="s">
        <v>1359</v>
      </c>
      <c r="H211" s="7" t="s">
        <v>1364</v>
      </c>
      <c r="I211" s="7">
        <v>1</v>
      </c>
      <c r="J211" s="7" t="str">
        <f>INDEX(Master_Produk!$C$2:$C$11,MATCH(H211,Master_Produk!$A$2:$A$11,0))</f>
        <v>Furnitur</v>
      </c>
      <c r="K211" s="8">
        <f>INDEX(Master_Produk!$E$2:$E$11,MATCH(Data_Transaksi!H211,Master_Produk!$A$2:$A$11,0))</f>
        <v>950000</v>
      </c>
      <c r="L211" s="8">
        <f t="shared" si="15"/>
        <v>950000</v>
      </c>
      <c r="M211" s="8">
        <f>INDEX(Master_Target!$B$2:$M$4, MATCH(J211, Master_Target!$A$2:$A$4, 0), MATCH(TEXT(B211, "[$-421]mmmm"), Master_Target!$B$1:$M$1, 0))</f>
        <v>24000000</v>
      </c>
    </row>
    <row r="212" spans="1:13" x14ac:dyDescent="0.25">
      <c r="A212" s="7" t="s">
        <v>221</v>
      </c>
      <c r="B212" s="11" t="s">
        <v>1084</v>
      </c>
      <c r="C212" s="7">
        <f t="shared" si="12"/>
        <v>3</v>
      </c>
      <c r="D212" s="7" t="str">
        <f t="shared" si="13"/>
        <v>Mar</v>
      </c>
      <c r="E212" s="7" t="s">
        <v>1355</v>
      </c>
      <c r="F212" s="7" t="str">
        <f t="shared" si="14"/>
        <v>Bambang H.</v>
      </c>
      <c r="G212" s="7" t="s">
        <v>1359</v>
      </c>
      <c r="H212" s="7" t="s">
        <v>1363</v>
      </c>
      <c r="I212" s="7">
        <v>2</v>
      </c>
      <c r="J212" s="7" t="str">
        <f>INDEX(Master_Produk!$C$2:$C$11,MATCH(H212,Master_Produk!$A$2:$A$11,0))</f>
        <v>Pakaian</v>
      </c>
      <c r="K212" s="8">
        <f>INDEX(Master_Produk!$E$2:$E$11,MATCH(Data_Transaksi!H212,Master_Produk!$A$2:$A$11,0))</f>
        <v>250000</v>
      </c>
      <c r="L212" s="8">
        <f t="shared" si="15"/>
        <v>500000</v>
      </c>
      <c r="M212" s="8">
        <f>INDEX(Master_Target!$B$2:$M$4, MATCH(J212, Master_Target!$A$2:$A$4, 0), MATCH(TEXT(B212, "[$-421]mmmm"), Master_Target!$B$1:$M$1, 0))</f>
        <v>18000000</v>
      </c>
    </row>
    <row r="213" spans="1:13" x14ac:dyDescent="0.25">
      <c r="A213" s="7" t="s">
        <v>222</v>
      </c>
      <c r="B213" s="11" t="s">
        <v>1084</v>
      </c>
      <c r="C213" s="7">
        <f t="shared" si="12"/>
        <v>3</v>
      </c>
      <c r="D213" s="7" t="str">
        <f t="shared" si="13"/>
        <v>Mar</v>
      </c>
      <c r="E213" s="7" t="s">
        <v>1350</v>
      </c>
      <c r="F213" s="7" t="str">
        <f t="shared" si="14"/>
        <v>Andi Wijaya</v>
      </c>
      <c r="G213" s="7" t="s">
        <v>1357</v>
      </c>
      <c r="H213" s="7" t="s">
        <v>1363</v>
      </c>
      <c r="I213" s="7">
        <v>1</v>
      </c>
      <c r="J213" s="7" t="str">
        <f>INDEX(Master_Produk!$C$2:$C$11,MATCH(H213,Master_Produk!$A$2:$A$11,0))</f>
        <v>Pakaian</v>
      </c>
      <c r="K213" s="8">
        <f>INDEX(Master_Produk!$E$2:$E$11,MATCH(Data_Transaksi!H213,Master_Produk!$A$2:$A$11,0))</f>
        <v>250000</v>
      </c>
      <c r="L213" s="8">
        <f t="shared" si="15"/>
        <v>250000</v>
      </c>
      <c r="M213" s="8">
        <f>INDEX(Master_Target!$B$2:$M$4, MATCH(J213, Master_Target!$A$2:$A$4, 0), MATCH(TEXT(B213, "[$-421]mmmm"), Master_Target!$B$1:$M$1, 0))</f>
        <v>18000000</v>
      </c>
    </row>
    <row r="214" spans="1:13" x14ac:dyDescent="0.25">
      <c r="A214" s="7" t="s">
        <v>223</v>
      </c>
      <c r="B214" s="11" t="s">
        <v>1084</v>
      </c>
      <c r="C214" s="7">
        <f t="shared" si="12"/>
        <v>3</v>
      </c>
      <c r="D214" s="7" t="str">
        <f t="shared" si="13"/>
        <v>Mar</v>
      </c>
      <c r="E214" s="7" t="s">
        <v>1352</v>
      </c>
      <c r="F214" s="7" t="str">
        <f t="shared" si="14"/>
        <v>Ahmad Fauzi</v>
      </c>
      <c r="G214" s="7" t="s">
        <v>1358</v>
      </c>
      <c r="H214" s="7" t="s">
        <v>1364</v>
      </c>
      <c r="I214" s="7">
        <v>2</v>
      </c>
      <c r="J214" s="7" t="str">
        <f>INDEX(Master_Produk!$C$2:$C$11,MATCH(H214,Master_Produk!$A$2:$A$11,0))</f>
        <v>Furnitur</v>
      </c>
      <c r="K214" s="8">
        <f>INDEX(Master_Produk!$E$2:$E$11,MATCH(Data_Transaksi!H214,Master_Produk!$A$2:$A$11,0))</f>
        <v>950000</v>
      </c>
      <c r="L214" s="8">
        <f t="shared" si="15"/>
        <v>1900000</v>
      </c>
      <c r="M214" s="8">
        <f>INDEX(Master_Target!$B$2:$M$4, MATCH(J214, Master_Target!$A$2:$A$4, 0), MATCH(TEXT(B214, "[$-421]mmmm"), Master_Target!$B$1:$M$1, 0))</f>
        <v>24000000</v>
      </c>
    </row>
    <row r="215" spans="1:13" x14ac:dyDescent="0.25">
      <c r="A215" s="7" t="s">
        <v>224</v>
      </c>
      <c r="B215" s="11" t="s">
        <v>1085</v>
      </c>
      <c r="C215" s="7">
        <f t="shared" si="12"/>
        <v>3</v>
      </c>
      <c r="D215" s="7" t="str">
        <f t="shared" si="13"/>
        <v>Mar</v>
      </c>
      <c r="E215" s="7" t="s">
        <v>1351</v>
      </c>
      <c r="F215" s="7" t="str">
        <f t="shared" si="14"/>
        <v>Siti Rahma</v>
      </c>
      <c r="G215" s="7" t="s">
        <v>1359</v>
      </c>
      <c r="H215" s="7" t="s">
        <v>1367</v>
      </c>
      <c r="I215" s="7">
        <v>2</v>
      </c>
      <c r="J215" s="7" t="str">
        <f>INDEX(Master_Produk!$C$2:$C$11,MATCH(H215,Master_Produk!$A$2:$A$11,0))</f>
        <v>Elektronik</v>
      </c>
      <c r="K215" s="8">
        <f>INDEX(Master_Produk!$E$2:$E$11,MATCH(Data_Transaksi!H215,Master_Produk!$A$2:$A$11,0))</f>
        <v>250000</v>
      </c>
      <c r="L215" s="8">
        <f t="shared" si="15"/>
        <v>500000</v>
      </c>
      <c r="M215" s="8">
        <f>INDEX(Master_Target!$B$2:$M$4, MATCH(J215, Master_Target!$A$2:$A$4, 0), MATCH(TEXT(B215, "[$-421]mmmm"), Master_Target!$B$1:$M$1, 0))</f>
        <v>60000000</v>
      </c>
    </row>
    <row r="216" spans="1:13" x14ac:dyDescent="0.25">
      <c r="A216" s="7" t="s">
        <v>225</v>
      </c>
      <c r="B216" s="11" t="s">
        <v>1086</v>
      </c>
      <c r="C216" s="7">
        <f t="shared" si="12"/>
        <v>3</v>
      </c>
      <c r="D216" s="7" t="str">
        <f t="shared" si="13"/>
        <v>Mar</v>
      </c>
      <c r="E216" s="7" t="s">
        <v>1353</v>
      </c>
      <c r="F216" s="7" t="str">
        <f t="shared" si="14"/>
        <v>Sari Yuliana</v>
      </c>
      <c r="G216" s="7" t="s">
        <v>1358</v>
      </c>
      <c r="H216" s="7" t="s">
        <v>1371</v>
      </c>
      <c r="I216" s="7">
        <v>2</v>
      </c>
      <c r="J216" s="7" t="str">
        <f>INDEX(Master_Produk!$C$2:$C$11,MATCH(H216,Master_Produk!$A$2:$A$11,0))</f>
        <v>Pakaian</v>
      </c>
      <c r="K216" s="8">
        <f>INDEX(Master_Produk!$E$2:$E$11,MATCH(Data_Transaksi!H216,Master_Produk!$A$2:$A$11,0))</f>
        <v>280000</v>
      </c>
      <c r="L216" s="8">
        <f t="shared" si="15"/>
        <v>560000</v>
      </c>
      <c r="M216" s="8">
        <f>INDEX(Master_Target!$B$2:$M$4, MATCH(J216, Master_Target!$A$2:$A$4, 0), MATCH(TEXT(B216, "[$-421]mmmm"), Master_Target!$B$1:$M$1, 0))</f>
        <v>18000000</v>
      </c>
    </row>
    <row r="217" spans="1:13" x14ac:dyDescent="0.25">
      <c r="A217" s="7" t="s">
        <v>226</v>
      </c>
      <c r="B217" s="11" t="s">
        <v>1086</v>
      </c>
      <c r="C217" s="7">
        <f t="shared" si="12"/>
        <v>3</v>
      </c>
      <c r="D217" s="7" t="str">
        <f t="shared" si="13"/>
        <v>Mar</v>
      </c>
      <c r="E217" s="7" t="s">
        <v>1353</v>
      </c>
      <c r="F217" s="7" t="str">
        <f t="shared" si="14"/>
        <v>Sari Yuliana</v>
      </c>
      <c r="G217" s="7" t="s">
        <v>1360</v>
      </c>
      <c r="H217" s="7" t="s">
        <v>1367</v>
      </c>
      <c r="I217" s="7">
        <v>2</v>
      </c>
      <c r="J217" s="7" t="str">
        <f>INDEX(Master_Produk!$C$2:$C$11,MATCH(H217,Master_Produk!$A$2:$A$11,0))</f>
        <v>Elektronik</v>
      </c>
      <c r="K217" s="8">
        <f>INDEX(Master_Produk!$E$2:$E$11,MATCH(Data_Transaksi!H217,Master_Produk!$A$2:$A$11,0))</f>
        <v>250000</v>
      </c>
      <c r="L217" s="8">
        <f t="shared" si="15"/>
        <v>500000</v>
      </c>
      <c r="M217" s="8">
        <f>INDEX(Master_Target!$B$2:$M$4, MATCH(J217, Master_Target!$A$2:$A$4, 0), MATCH(TEXT(B217, "[$-421]mmmm"), Master_Target!$B$1:$M$1, 0))</f>
        <v>60000000</v>
      </c>
    </row>
    <row r="218" spans="1:13" x14ac:dyDescent="0.25">
      <c r="A218" s="7" t="s">
        <v>227</v>
      </c>
      <c r="B218" s="11" t="s">
        <v>1087</v>
      </c>
      <c r="C218" s="7">
        <f t="shared" si="12"/>
        <v>3</v>
      </c>
      <c r="D218" s="7" t="str">
        <f t="shared" si="13"/>
        <v>Mar</v>
      </c>
      <c r="E218" s="7" t="s">
        <v>1355</v>
      </c>
      <c r="F218" s="7" t="str">
        <f t="shared" si="14"/>
        <v>Bambang H.</v>
      </c>
      <c r="G218" s="7" t="s">
        <v>1359</v>
      </c>
      <c r="H218" s="7" t="s">
        <v>1371</v>
      </c>
      <c r="I218" s="7">
        <v>1</v>
      </c>
      <c r="J218" s="7" t="str">
        <f>INDEX(Master_Produk!$C$2:$C$11,MATCH(H218,Master_Produk!$A$2:$A$11,0))</f>
        <v>Pakaian</v>
      </c>
      <c r="K218" s="8">
        <f>INDEX(Master_Produk!$E$2:$E$11,MATCH(Data_Transaksi!H218,Master_Produk!$A$2:$A$11,0))</f>
        <v>280000</v>
      </c>
      <c r="L218" s="8">
        <f t="shared" si="15"/>
        <v>280000</v>
      </c>
      <c r="M218" s="8">
        <f>INDEX(Master_Target!$B$2:$M$4, MATCH(J218, Master_Target!$A$2:$A$4, 0), MATCH(TEXT(B218, "[$-421]mmmm"), Master_Target!$B$1:$M$1, 0))</f>
        <v>18000000</v>
      </c>
    </row>
    <row r="219" spans="1:13" x14ac:dyDescent="0.25">
      <c r="A219" s="7" t="s">
        <v>228</v>
      </c>
      <c r="B219" s="11" t="s">
        <v>1088</v>
      </c>
      <c r="C219" s="7">
        <f t="shared" si="12"/>
        <v>3</v>
      </c>
      <c r="D219" s="7" t="str">
        <f t="shared" si="13"/>
        <v>Mar</v>
      </c>
      <c r="E219" s="7" t="s">
        <v>1350</v>
      </c>
      <c r="F219" s="7" t="str">
        <f t="shared" si="14"/>
        <v>Andi Wijaya</v>
      </c>
      <c r="G219" s="7" t="s">
        <v>1361</v>
      </c>
      <c r="H219" s="7" t="s">
        <v>1368</v>
      </c>
      <c r="I219" s="7">
        <v>5</v>
      </c>
      <c r="J219" s="7" t="str">
        <f>INDEX(Master_Produk!$C$2:$C$11,MATCH(H219,Master_Produk!$A$2:$A$11,0))</f>
        <v>Furnitur</v>
      </c>
      <c r="K219" s="8">
        <f>INDEX(Master_Produk!$E$2:$E$11,MATCH(Data_Transaksi!H219,Master_Produk!$A$2:$A$11,0))</f>
        <v>650000</v>
      </c>
      <c r="L219" s="8">
        <f t="shared" si="15"/>
        <v>3250000</v>
      </c>
      <c r="M219" s="8">
        <f>INDEX(Master_Target!$B$2:$M$4, MATCH(J219, Master_Target!$A$2:$A$4, 0), MATCH(TEXT(B219, "[$-421]mmmm"), Master_Target!$B$1:$M$1, 0))</f>
        <v>24000000</v>
      </c>
    </row>
    <row r="220" spans="1:13" x14ac:dyDescent="0.25">
      <c r="A220" s="7" t="s">
        <v>229</v>
      </c>
      <c r="B220" s="11" t="s">
        <v>1089</v>
      </c>
      <c r="C220" s="7">
        <f t="shared" si="12"/>
        <v>3</v>
      </c>
      <c r="D220" s="7" t="str">
        <f t="shared" si="13"/>
        <v>Mar</v>
      </c>
      <c r="E220" s="7" t="s">
        <v>1355</v>
      </c>
      <c r="F220" s="7" t="str">
        <f t="shared" si="14"/>
        <v>Bambang H.</v>
      </c>
      <c r="G220" s="7" t="s">
        <v>1359</v>
      </c>
      <c r="H220" s="7" t="s">
        <v>1363</v>
      </c>
      <c r="I220" s="7">
        <v>3</v>
      </c>
      <c r="J220" s="7" t="str">
        <f>INDEX(Master_Produk!$C$2:$C$11,MATCH(H220,Master_Produk!$A$2:$A$11,0))</f>
        <v>Pakaian</v>
      </c>
      <c r="K220" s="8">
        <f>INDEX(Master_Produk!$E$2:$E$11,MATCH(Data_Transaksi!H220,Master_Produk!$A$2:$A$11,0))</f>
        <v>250000</v>
      </c>
      <c r="L220" s="8">
        <f t="shared" si="15"/>
        <v>750000</v>
      </c>
      <c r="M220" s="8">
        <f>INDEX(Master_Target!$B$2:$M$4, MATCH(J220, Master_Target!$A$2:$A$4, 0), MATCH(TEXT(B220, "[$-421]mmmm"), Master_Target!$B$1:$M$1, 0))</f>
        <v>18000000</v>
      </c>
    </row>
    <row r="221" spans="1:13" x14ac:dyDescent="0.25">
      <c r="A221" s="7" t="s">
        <v>230</v>
      </c>
      <c r="B221" s="11" t="s">
        <v>1089</v>
      </c>
      <c r="C221" s="7">
        <f t="shared" si="12"/>
        <v>3</v>
      </c>
      <c r="D221" s="7" t="str">
        <f t="shared" si="13"/>
        <v>Mar</v>
      </c>
      <c r="E221" s="7" t="s">
        <v>1354</v>
      </c>
      <c r="F221" s="7" t="str">
        <f t="shared" si="14"/>
        <v>Mega Utami</v>
      </c>
      <c r="G221" s="7" t="s">
        <v>1358</v>
      </c>
      <c r="H221" s="7" t="s">
        <v>1363</v>
      </c>
      <c r="I221" s="7">
        <v>1</v>
      </c>
      <c r="J221" s="7" t="str">
        <f>INDEX(Master_Produk!$C$2:$C$11,MATCH(H221,Master_Produk!$A$2:$A$11,0))</f>
        <v>Pakaian</v>
      </c>
      <c r="K221" s="8">
        <f>INDEX(Master_Produk!$E$2:$E$11,MATCH(Data_Transaksi!H221,Master_Produk!$A$2:$A$11,0))</f>
        <v>250000</v>
      </c>
      <c r="L221" s="8">
        <f t="shared" si="15"/>
        <v>250000</v>
      </c>
      <c r="M221" s="8">
        <f>INDEX(Master_Target!$B$2:$M$4, MATCH(J221, Master_Target!$A$2:$A$4, 0), MATCH(TEXT(B221, "[$-421]mmmm"), Master_Target!$B$1:$M$1, 0))</f>
        <v>18000000</v>
      </c>
    </row>
    <row r="222" spans="1:13" x14ac:dyDescent="0.25">
      <c r="A222" s="7" t="s">
        <v>231</v>
      </c>
      <c r="B222" s="11" t="s">
        <v>1089</v>
      </c>
      <c r="C222" s="7">
        <f t="shared" si="12"/>
        <v>3</v>
      </c>
      <c r="D222" s="7" t="str">
        <f t="shared" si="13"/>
        <v>Mar</v>
      </c>
      <c r="E222" s="7" t="s">
        <v>1350</v>
      </c>
      <c r="F222" s="7" t="str">
        <f t="shared" si="14"/>
        <v>Andi Wijaya</v>
      </c>
      <c r="G222" s="7" t="s">
        <v>1359</v>
      </c>
      <c r="H222" s="7" t="s">
        <v>1369</v>
      </c>
      <c r="I222" s="7">
        <v>4</v>
      </c>
      <c r="J222" s="7" t="str">
        <f>INDEX(Master_Produk!$C$2:$C$11,MATCH(H222,Master_Produk!$A$2:$A$11,0))</f>
        <v>Elektronik</v>
      </c>
      <c r="K222" s="8">
        <f>INDEX(Master_Produk!$E$2:$E$11,MATCH(Data_Transaksi!H222,Master_Produk!$A$2:$A$11,0))</f>
        <v>4500000</v>
      </c>
      <c r="L222" s="8">
        <f t="shared" si="15"/>
        <v>18000000</v>
      </c>
      <c r="M222" s="8">
        <f>INDEX(Master_Target!$B$2:$M$4, MATCH(J222, Master_Target!$A$2:$A$4, 0), MATCH(TEXT(B222, "[$-421]mmmm"), Master_Target!$B$1:$M$1, 0))</f>
        <v>60000000</v>
      </c>
    </row>
    <row r="223" spans="1:13" x14ac:dyDescent="0.25">
      <c r="A223" s="7" t="s">
        <v>232</v>
      </c>
      <c r="B223" s="11" t="s">
        <v>1090</v>
      </c>
      <c r="C223" s="7">
        <f t="shared" si="12"/>
        <v>3</v>
      </c>
      <c r="D223" s="7" t="str">
        <f t="shared" si="13"/>
        <v>Mar</v>
      </c>
      <c r="E223" s="7" t="s">
        <v>1347</v>
      </c>
      <c r="F223" s="7" t="str">
        <f t="shared" si="14"/>
        <v>Rina Marlina</v>
      </c>
      <c r="G223" s="7" t="s">
        <v>1357</v>
      </c>
      <c r="H223" s="7" t="s">
        <v>1362</v>
      </c>
      <c r="I223" s="7">
        <v>2</v>
      </c>
      <c r="J223" s="7" t="str">
        <f>INDEX(Master_Produk!$C$2:$C$11,MATCH(H223,Master_Produk!$A$2:$A$11,0))</f>
        <v>Pakaian</v>
      </c>
      <c r="K223" s="8">
        <f>INDEX(Master_Produk!$E$2:$E$11,MATCH(Data_Transaksi!H223,Master_Produk!$A$2:$A$11,0))</f>
        <v>350000</v>
      </c>
      <c r="L223" s="8">
        <f t="shared" si="15"/>
        <v>700000</v>
      </c>
      <c r="M223" s="8">
        <f>INDEX(Master_Target!$B$2:$M$4, MATCH(J223, Master_Target!$A$2:$A$4, 0), MATCH(TEXT(B223, "[$-421]mmmm"), Master_Target!$B$1:$M$1, 0))</f>
        <v>18000000</v>
      </c>
    </row>
    <row r="224" spans="1:13" x14ac:dyDescent="0.25">
      <c r="A224" s="7" t="s">
        <v>233</v>
      </c>
      <c r="B224" s="11" t="s">
        <v>1091</v>
      </c>
      <c r="C224" s="7">
        <f t="shared" si="12"/>
        <v>3</v>
      </c>
      <c r="D224" s="7" t="str">
        <f t="shared" si="13"/>
        <v>Mar</v>
      </c>
      <c r="E224" s="7" t="s">
        <v>1347</v>
      </c>
      <c r="F224" s="7" t="str">
        <f t="shared" si="14"/>
        <v>Rina Marlina</v>
      </c>
      <c r="G224" s="7" t="s">
        <v>1361</v>
      </c>
      <c r="H224" s="7" t="s">
        <v>1368</v>
      </c>
      <c r="I224" s="7">
        <v>4</v>
      </c>
      <c r="J224" s="7" t="str">
        <f>INDEX(Master_Produk!$C$2:$C$11,MATCH(H224,Master_Produk!$A$2:$A$11,0))</f>
        <v>Furnitur</v>
      </c>
      <c r="K224" s="8">
        <f>INDEX(Master_Produk!$E$2:$E$11,MATCH(Data_Transaksi!H224,Master_Produk!$A$2:$A$11,0))</f>
        <v>650000</v>
      </c>
      <c r="L224" s="8">
        <f t="shared" si="15"/>
        <v>2600000</v>
      </c>
      <c r="M224" s="8">
        <f>INDEX(Master_Target!$B$2:$M$4, MATCH(J224, Master_Target!$A$2:$A$4, 0), MATCH(TEXT(B224, "[$-421]mmmm"), Master_Target!$B$1:$M$1, 0))</f>
        <v>24000000</v>
      </c>
    </row>
    <row r="225" spans="1:13" x14ac:dyDescent="0.25">
      <c r="A225" s="7" t="s">
        <v>234</v>
      </c>
      <c r="B225" s="11" t="s">
        <v>1091</v>
      </c>
      <c r="C225" s="7">
        <f t="shared" si="12"/>
        <v>3</v>
      </c>
      <c r="D225" s="7" t="str">
        <f t="shared" si="13"/>
        <v>Mar</v>
      </c>
      <c r="E225" s="7" t="s">
        <v>1354</v>
      </c>
      <c r="F225" s="7" t="str">
        <f t="shared" si="14"/>
        <v>Mega Utami</v>
      </c>
      <c r="G225" s="7" t="s">
        <v>1357</v>
      </c>
      <c r="H225" s="7" t="s">
        <v>1365</v>
      </c>
      <c r="I225" s="7">
        <v>3</v>
      </c>
      <c r="J225" s="7" t="str">
        <f>INDEX(Master_Produk!$C$2:$C$11,MATCH(H225,Master_Produk!$A$2:$A$11,0))</f>
        <v>Elektronik</v>
      </c>
      <c r="K225" s="8">
        <f>INDEX(Master_Produk!$E$2:$E$11,MATCH(Data_Transaksi!H225,Master_Produk!$A$2:$A$11,0))</f>
        <v>1800000</v>
      </c>
      <c r="L225" s="8">
        <f t="shared" si="15"/>
        <v>5400000</v>
      </c>
      <c r="M225" s="8">
        <f>INDEX(Master_Target!$B$2:$M$4, MATCH(J225, Master_Target!$A$2:$A$4, 0), MATCH(TEXT(B225, "[$-421]mmmm"), Master_Target!$B$1:$M$1, 0))</f>
        <v>60000000</v>
      </c>
    </row>
    <row r="226" spans="1:13" x14ac:dyDescent="0.25">
      <c r="A226" s="7" t="s">
        <v>235</v>
      </c>
      <c r="B226" s="11" t="s">
        <v>1092</v>
      </c>
      <c r="C226" s="7">
        <f t="shared" si="12"/>
        <v>3</v>
      </c>
      <c r="D226" s="7" t="str">
        <f t="shared" si="13"/>
        <v>Mar</v>
      </c>
      <c r="E226" s="7" t="s">
        <v>1356</v>
      </c>
      <c r="F226" s="7" t="str">
        <f t="shared" si="14"/>
        <v>Eko Prasetyo</v>
      </c>
      <c r="G226" s="7" t="s">
        <v>1360</v>
      </c>
      <c r="H226" s="7" t="s">
        <v>1365</v>
      </c>
      <c r="I226" s="7">
        <v>2</v>
      </c>
      <c r="J226" s="7" t="str">
        <f>INDEX(Master_Produk!$C$2:$C$11,MATCH(H226,Master_Produk!$A$2:$A$11,0))</f>
        <v>Elektronik</v>
      </c>
      <c r="K226" s="8">
        <f>INDEX(Master_Produk!$E$2:$E$11,MATCH(Data_Transaksi!H226,Master_Produk!$A$2:$A$11,0))</f>
        <v>1800000</v>
      </c>
      <c r="L226" s="8">
        <f t="shared" si="15"/>
        <v>3600000</v>
      </c>
      <c r="M226" s="8">
        <f>INDEX(Master_Target!$B$2:$M$4, MATCH(J226, Master_Target!$A$2:$A$4, 0), MATCH(TEXT(B226, "[$-421]mmmm"), Master_Target!$B$1:$M$1, 0))</f>
        <v>60000000</v>
      </c>
    </row>
    <row r="227" spans="1:13" x14ac:dyDescent="0.25">
      <c r="A227" s="7" t="s">
        <v>236</v>
      </c>
      <c r="B227" s="11" t="s">
        <v>1092</v>
      </c>
      <c r="C227" s="7">
        <f t="shared" si="12"/>
        <v>3</v>
      </c>
      <c r="D227" s="7" t="str">
        <f t="shared" si="13"/>
        <v>Mar</v>
      </c>
      <c r="E227" s="7" t="s">
        <v>1354</v>
      </c>
      <c r="F227" s="7" t="str">
        <f t="shared" si="14"/>
        <v>Mega Utami</v>
      </c>
      <c r="G227" s="7" t="s">
        <v>1359</v>
      </c>
      <c r="H227" s="7" t="s">
        <v>1371</v>
      </c>
      <c r="I227" s="7">
        <v>1</v>
      </c>
      <c r="J227" s="7" t="str">
        <f>INDEX(Master_Produk!$C$2:$C$11,MATCH(H227,Master_Produk!$A$2:$A$11,0))</f>
        <v>Pakaian</v>
      </c>
      <c r="K227" s="8">
        <f>INDEX(Master_Produk!$E$2:$E$11,MATCH(Data_Transaksi!H227,Master_Produk!$A$2:$A$11,0))</f>
        <v>280000</v>
      </c>
      <c r="L227" s="8">
        <f t="shared" si="15"/>
        <v>280000</v>
      </c>
      <c r="M227" s="8">
        <f>INDEX(Master_Target!$B$2:$M$4, MATCH(J227, Master_Target!$A$2:$A$4, 0), MATCH(TEXT(B227, "[$-421]mmmm"), Master_Target!$B$1:$M$1, 0))</f>
        <v>18000000</v>
      </c>
    </row>
    <row r="228" spans="1:13" x14ac:dyDescent="0.25">
      <c r="A228" s="7" t="s">
        <v>237</v>
      </c>
      <c r="B228" s="11" t="s">
        <v>1092</v>
      </c>
      <c r="C228" s="7">
        <f t="shared" si="12"/>
        <v>3</v>
      </c>
      <c r="D228" s="7" t="str">
        <f t="shared" si="13"/>
        <v>Mar</v>
      </c>
      <c r="E228" s="7" t="s">
        <v>1354</v>
      </c>
      <c r="F228" s="7" t="str">
        <f t="shared" si="14"/>
        <v>Mega Utami</v>
      </c>
      <c r="G228" s="7" t="s">
        <v>1359</v>
      </c>
      <c r="H228" s="7" t="s">
        <v>1370</v>
      </c>
      <c r="I228" s="7">
        <v>1</v>
      </c>
      <c r="J228" s="7" t="str">
        <f>INDEX(Master_Produk!$C$2:$C$11,MATCH(H228,Master_Produk!$A$2:$A$11,0))</f>
        <v>Furnitur</v>
      </c>
      <c r="K228" s="8">
        <f>INDEX(Master_Produk!$E$2:$E$11,MATCH(Data_Transaksi!H228,Master_Produk!$A$2:$A$11,0))</f>
        <v>1200000</v>
      </c>
      <c r="L228" s="8">
        <f t="shared" si="15"/>
        <v>1200000</v>
      </c>
      <c r="M228" s="8">
        <f>INDEX(Master_Target!$B$2:$M$4, MATCH(J228, Master_Target!$A$2:$A$4, 0), MATCH(TEXT(B228, "[$-421]mmmm"), Master_Target!$B$1:$M$1, 0))</f>
        <v>24000000</v>
      </c>
    </row>
    <row r="229" spans="1:13" x14ac:dyDescent="0.25">
      <c r="A229" s="7" t="s">
        <v>238</v>
      </c>
      <c r="B229" s="11" t="s">
        <v>1092</v>
      </c>
      <c r="C229" s="7">
        <f t="shared" si="12"/>
        <v>3</v>
      </c>
      <c r="D229" s="7" t="str">
        <f t="shared" si="13"/>
        <v>Mar</v>
      </c>
      <c r="E229" s="7" t="s">
        <v>1355</v>
      </c>
      <c r="F229" s="7" t="str">
        <f t="shared" si="14"/>
        <v>Bambang H.</v>
      </c>
      <c r="G229" s="7" t="s">
        <v>1360</v>
      </c>
      <c r="H229" s="7" t="s">
        <v>1363</v>
      </c>
      <c r="I229" s="7">
        <v>2</v>
      </c>
      <c r="J229" s="7" t="str">
        <f>INDEX(Master_Produk!$C$2:$C$11,MATCH(H229,Master_Produk!$A$2:$A$11,0))</f>
        <v>Pakaian</v>
      </c>
      <c r="K229" s="8">
        <f>INDEX(Master_Produk!$E$2:$E$11,MATCH(Data_Transaksi!H229,Master_Produk!$A$2:$A$11,0))</f>
        <v>250000</v>
      </c>
      <c r="L229" s="8">
        <f t="shared" si="15"/>
        <v>500000</v>
      </c>
      <c r="M229" s="8">
        <f>INDEX(Master_Target!$B$2:$M$4, MATCH(J229, Master_Target!$A$2:$A$4, 0), MATCH(TEXT(B229, "[$-421]mmmm"), Master_Target!$B$1:$M$1, 0))</f>
        <v>18000000</v>
      </c>
    </row>
    <row r="230" spans="1:13" x14ac:dyDescent="0.25">
      <c r="A230" s="7" t="s">
        <v>239</v>
      </c>
      <c r="B230" s="11" t="s">
        <v>1093</v>
      </c>
      <c r="C230" s="7">
        <f t="shared" si="12"/>
        <v>4</v>
      </c>
      <c r="D230" s="7" t="str">
        <f t="shared" si="13"/>
        <v>Apr</v>
      </c>
      <c r="E230" s="7" t="s">
        <v>1348</v>
      </c>
      <c r="F230" s="7" t="str">
        <f t="shared" si="14"/>
        <v>Budi Santoso</v>
      </c>
      <c r="G230" s="7" t="s">
        <v>1357</v>
      </c>
      <c r="H230" s="7" t="s">
        <v>1366</v>
      </c>
      <c r="I230" s="7">
        <v>2</v>
      </c>
      <c r="J230" s="7" t="str">
        <f>INDEX(Master_Produk!$C$2:$C$11,MATCH(H230,Master_Produk!$A$2:$A$11,0))</f>
        <v>Elektronik</v>
      </c>
      <c r="K230" s="8">
        <f>INDEX(Master_Produk!$E$2:$E$11,MATCH(Data_Transaksi!H230,Master_Produk!$A$2:$A$11,0))</f>
        <v>7500000</v>
      </c>
      <c r="L230" s="8">
        <f t="shared" si="15"/>
        <v>15000000</v>
      </c>
      <c r="M230" s="8">
        <f>INDEX(Master_Target!$B$2:$M$4, MATCH(J230, Master_Target!$A$2:$A$4, 0), MATCH(TEXT(B230, "[$-421]mmmm"), Master_Target!$B$1:$M$1, 0))</f>
        <v>65000000</v>
      </c>
    </row>
    <row r="231" spans="1:13" x14ac:dyDescent="0.25">
      <c r="A231" s="7" t="s">
        <v>240</v>
      </c>
      <c r="B231" s="11" t="s">
        <v>1094</v>
      </c>
      <c r="C231" s="7">
        <f t="shared" si="12"/>
        <v>4</v>
      </c>
      <c r="D231" s="7" t="str">
        <f t="shared" si="13"/>
        <v>Apr</v>
      </c>
      <c r="E231" s="7" t="s">
        <v>1347</v>
      </c>
      <c r="F231" s="7" t="str">
        <f t="shared" si="14"/>
        <v>Rina Marlina</v>
      </c>
      <c r="G231" s="7" t="s">
        <v>1361</v>
      </c>
      <c r="H231" s="7" t="s">
        <v>1363</v>
      </c>
      <c r="I231" s="7">
        <v>1</v>
      </c>
      <c r="J231" s="7" t="str">
        <f>INDEX(Master_Produk!$C$2:$C$11,MATCH(H231,Master_Produk!$A$2:$A$11,0))</f>
        <v>Pakaian</v>
      </c>
      <c r="K231" s="8">
        <f>INDEX(Master_Produk!$E$2:$E$11,MATCH(Data_Transaksi!H231,Master_Produk!$A$2:$A$11,0))</f>
        <v>250000</v>
      </c>
      <c r="L231" s="8">
        <f t="shared" si="15"/>
        <v>250000</v>
      </c>
      <c r="M231" s="8">
        <f>INDEX(Master_Target!$B$2:$M$4, MATCH(J231, Master_Target!$A$2:$A$4, 0), MATCH(TEXT(B231, "[$-421]mmmm"), Master_Target!$B$1:$M$1, 0))</f>
        <v>19500000</v>
      </c>
    </row>
    <row r="232" spans="1:13" x14ac:dyDescent="0.25">
      <c r="A232" s="7" t="s">
        <v>241</v>
      </c>
      <c r="B232" s="11" t="s">
        <v>1094</v>
      </c>
      <c r="C232" s="7">
        <f t="shared" si="12"/>
        <v>4</v>
      </c>
      <c r="D232" s="7" t="str">
        <f t="shared" si="13"/>
        <v>Apr</v>
      </c>
      <c r="E232" s="7" t="s">
        <v>1348</v>
      </c>
      <c r="F232" s="7" t="str">
        <f t="shared" si="14"/>
        <v>Budi Santoso</v>
      </c>
      <c r="G232" s="7" t="s">
        <v>1357</v>
      </c>
      <c r="H232" s="7" t="s">
        <v>1369</v>
      </c>
      <c r="I232" s="7">
        <v>1</v>
      </c>
      <c r="J232" s="7" t="str">
        <f>INDEX(Master_Produk!$C$2:$C$11,MATCH(H232,Master_Produk!$A$2:$A$11,0))</f>
        <v>Elektronik</v>
      </c>
      <c r="K232" s="8">
        <f>INDEX(Master_Produk!$E$2:$E$11,MATCH(Data_Transaksi!H232,Master_Produk!$A$2:$A$11,0))</f>
        <v>4500000</v>
      </c>
      <c r="L232" s="8">
        <f t="shared" si="15"/>
        <v>4500000</v>
      </c>
      <c r="M232" s="8">
        <f>INDEX(Master_Target!$B$2:$M$4, MATCH(J232, Master_Target!$A$2:$A$4, 0), MATCH(TEXT(B232, "[$-421]mmmm"), Master_Target!$B$1:$M$1, 0))</f>
        <v>65000000</v>
      </c>
    </row>
    <row r="233" spans="1:13" x14ac:dyDescent="0.25">
      <c r="A233" s="7" t="s">
        <v>242</v>
      </c>
      <c r="B233" s="11" t="s">
        <v>1094</v>
      </c>
      <c r="C233" s="7">
        <f t="shared" si="12"/>
        <v>4</v>
      </c>
      <c r="D233" s="7" t="str">
        <f t="shared" si="13"/>
        <v>Apr</v>
      </c>
      <c r="E233" s="7" t="s">
        <v>1354</v>
      </c>
      <c r="F233" s="7" t="str">
        <f t="shared" si="14"/>
        <v>Mega Utami</v>
      </c>
      <c r="G233" s="7" t="s">
        <v>1358</v>
      </c>
      <c r="H233" s="7" t="s">
        <v>1371</v>
      </c>
      <c r="I233" s="7">
        <v>3</v>
      </c>
      <c r="J233" s="7" t="str">
        <f>INDEX(Master_Produk!$C$2:$C$11,MATCH(H233,Master_Produk!$A$2:$A$11,0))</f>
        <v>Pakaian</v>
      </c>
      <c r="K233" s="8">
        <f>INDEX(Master_Produk!$E$2:$E$11,MATCH(Data_Transaksi!H233,Master_Produk!$A$2:$A$11,0))</f>
        <v>280000</v>
      </c>
      <c r="L233" s="8">
        <f t="shared" si="15"/>
        <v>840000</v>
      </c>
      <c r="M233" s="8">
        <f>INDEX(Master_Target!$B$2:$M$4, MATCH(J233, Master_Target!$A$2:$A$4, 0), MATCH(TEXT(B233, "[$-421]mmmm"), Master_Target!$B$1:$M$1, 0))</f>
        <v>19500000</v>
      </c>
    </row>
    <row r="234" spans="1:13" x14ac:dyDescent="0.25">
      <c r="A234" s="7" t="s">
        <v>243</v>
      </c>
      <c r="B234" s="11" t="s">
        <v>1094</v>
      </c>
      <c r="C234" s="7">
        <f t="shared" si="12"/>
        <v>4</v>
      </c>
      <c r="D234" s="7" t="str">
        <f t="shared" si="13"/>
        <v>Apr</v>
      </c>
      <c r="E234" s="7" t="s">
        <v>1356</v>
      </c>
      <c r="F234" s="7" t="str">
        <f t="shared" si="14"/>
        <v>Eko Prasetyo</v>
      </c>
      <c r="G234" s="7" t="s">
        <v>1357</v>
      </c>
      <c r="H234" s="7" t="s">
        <v>1367</v>
      </c>
      <c r="I234" s="7">
        <v>10</v>
      </c>
      <c r="J234" s="7" t="str">
        <f>INDEX(Master_Produk!$C$2:$C$11,MATCH(H234,Master_Produk!$A$2:$A$11,0))</f>
        <v>Elektronik</v>
      </c>
      <c r="K234" s="8">
        <f>INDEX(Master_Produk!$E$2:$E$11,MATCH(Data_Transaksi!H234,Master_Produk!$A$2:$A$11,0))</f>
        <v>250000</v>
      </c>
      <c r="L234" s="8">
        <f t="shared" si="15"/>
        <v>2500000</v>
      </c>
      <c r="M234" s="8">
        <f>INDEX(Master_Target!$B$2:$M$4, MATCH(J234, Master_Target!$A$2:$A$4, 0), MATCH(TEXT(B234, "[$-421]mmmm"), Master_Target!$B$1:$M$1, 0))</f>
        <v>65000000</v>
      </c>
    </row>
    <row r="235" spans="1:13" x14ac:dyDescent="0.25">
      <c r="A235" s="7" t="s">
        <v>244</v>
      </c>
      <c r="B235" s="11" t="s">
        <v>1095</v>
      </c>
      <c r="C235" s="7">
        <f t="shared" si="12"/>
        <v>4</v>
      </c>
      <c r="D235" s="7" t="str">
        <f t="shared" si="13"/>
        <v>Apr</v>
      </c>
      <c r="E235" s="7" t="s">
        <v>1347</v>
      </c>
      <c r="F235" s="7" t="str">
        <f t="shared" si="14"/>
        <v>Rina Marlina</v>
      </c>
      <c r="G235" s="7" t="s">
        <v>1361</v>
      </c>
      <c r="H235" s="7" t="s">
        <v>1363</v>
      </c>
      <c r="I235" s="7">
        <v>2</v>
      </c>
      <c r="J235" s="7" t="str">
        <f>INDEX(Master_Produk!$C$2:$C$11,MATCH(H235,Master_Produk!$A$2:$A$11,0))</f>
        <v>Pakaian</v>
      </c>
      <c r="K235" s="8">
        <f>INDEX(Master_Produk!$E$2:$E$11,MATCH(Data_Transaksi!H235,Master_Produk!$A$2:$A$11,0))</f>
        <v>250000</v>
      </c>
      <c r="L235" s="8">
        <f t="shared" si="15"/>
        <v>500000</v>
      </c>
      <c r="M235" s="8">
        <f>INDEX(Master_Target!$B$2:$M$4, MATCH(J235, Master_Target!$A$2:$A$4, 0), MATCH(TEXT(B235, "[$-421]mmmm"), Master_Target!$B$1:$M$1, 0))</f>
        <v>19500000</v>
      </c>
    </row>
    <row r="236" spans="1:13" x14ac:dyDescent="0.25">
      <c r="A236" s="7" t="s">
        <v>245</v>
      </c>
      <c r="B236" s="11" t="s">
        <v>1095</v>
      </c>
      <c r="C236" s="7">
        <f t="shared" si="12"/>
        <v>4</v>
      </c>
      <c r="D236" s="7" t="str">
        <f t="shared" si="13"/>
        <v>Apr</v>
      </c>
      <c r="E236" s="7" t="s">
        <v>1350</v>
      </c>
      <c r="F236" s="7" t="str">
        <f t="shared" si="14"/>
        <v>Andi Wijaya</v>
      </c>
      <c r="G236" s="7" t="s">
        <v>1359</v>
      </c>
      <c r="H236" s="7" t="s">
        <v>1367</v>
      </c>
      <c r="I236" s="7">
        <v>1</v>
      </c>
      <c r="J236" s="7" t="str">
        <f>INDEX(Master_Produk!$C$2:$C$11,MATCH(H236,Master_Produk!$A$2:$A$11,0))</f>
        <v>Elektronik</v>
      </c>
      <c r="K236" s="8">
        <f>INDEX(Master_Produk!$E$2:$E$11,MATCH(Data_Transaksi!H236,Master_Produk!$A$2:$A$11,0))</f>
        <v>250000</v>
      </c>
      <c r="L236" s="8">
        <f t="shared" si="15"/>
        <v>250000</v>
      </c>
      <c r="M236" s="8">
        <f>INDEX(Master_Target!$B$2:$M$4, MATCH(J236, Master_Target!$A$2:$A$4, 0), MATCH(TEXT(B236, "[$-421]mmmm"), Master_Target!$B$1:$M$1, 0))</f>
        <v>65000000</v>
      </c>
    </row>
    <row r="237" spans="1:13" x14ac:dyDescent="0.25">
      <c r="A237" s="7" t="s">
        <v>246</v>
      </c>
      <c r="B237" s="11" t="s">
        <v>1096</v>
      </c>
      <c r="C237" s="7">
        <f t="shared" si="12"/>
        <v>4</v>
      </c>
      <c r="D237" s="7" t="str">
        <f t="shared" si="13"/>
        <v>Apr</v>
      </c>
      <c r="E237" s="7" t="s">
        <v>1350</v>
      </c>
      <c r="F237" s="7" t="str">
        <f t="shared" si="14"/>
        <v>Andi Wijaya</v>
      </c>
      <c r="G237" s="7" t="s">
        <v>1357</v>
      </c>
      <c r="H237" s="7" t="s">
        <v>1364</v>
      </c>
      <c r="I237" s="7">
        <v>1</v>
      </c>
      <c r="J237" s="7" t="str">
        <f>INDEX(Master_Produk!$C$2:$C$11,MATCH(H237,Master_Produk!$A$2:$A$11,0))</f>
        <v>Furnitur</v>
      </c>
      <c r="K237" s="8">
        <f>INDEX(Master_Produk!$E$2:$E$11,MATCH(Data_Transaksi!H237,Master_Produk!$A$2:$A$11,0))</f>
        <v>950000</v>
      </c>
      <c r="L237" s="8">
        <f t="shared" si="15"/>
        <v>950000</v>
      </c>
      <c r="M237" s="8">
        <f>INDEX(Master_Target!$B$2:$M$4, MATCH(J237, Master_Target!$A$2:$A$4, 0), MATCH(TEXT(B237, "[$-421]mmmm"), Master_Target!$B$1:$M$1, 0))</f>
        <v>26000000</v>
      </c>
    </row>
    <row r="238" spans="1:13" x14ac:dyDescent="0.25">
      <c r="A238" s="7" t="s">
        <v>247</v>
      </c>
      <c r="B238" s="11" t="s">
        <v>1096</v>
      </c>
      <c r="C238" s="7">
        <f t="shared" si="12"/>
        <v>4</v>
      </c>
      <c r="D238" s="7" t="str">
        <f t="shared" si="13"/>
        <v>Apr</v>
      </c>
      <c r="E238" s="7" t="s">
        <v>1350</v>
      </c>
      <c r="F238" s="7" t="str">
        <f t="shared" si="14"/>
        <v>Andi Wijaya</v>
      </c>
      <c r="G238" s="7" t="s">
        <v>1360</v>
      </c>
      <c r="H238" s="7" t="s">
        <v>1364</v>
      </c>
      <c r="I238" s="7">
        <v>1</v>
      </c>
      <c r="J238" s="7" t="str">
        <f>INDEX(Master_Produk!$C$2:$C$11,MATCH(H238,Master_Produk!$A$2:$A$11,0))</f>
        <v>Furnitur</v>
      </c>
      <c r="K238" s="8">
        <f>INDEX(Master_Produk!$E$2:$E$11,MATCH(Data_Transaksi!H238,Master_Produk!$A$2:$A$11,0))</f>
        <v>950000</v>
      </c>
      <c r="L238" s="8">
        <f t="shared" si="15"/>
        <v>950000</v>
      </c>
      <c r="M238" s="8">
        <f>INDEX(Master_Target!$B$2:$M$4, MATCH(J238, Master_Target!$A$2:$A$4, 0), MATCH(TEXT(B238, "[$-421]mmmm"), Master_Target!$B$1:$M$1, 0))</f>
        <v>26000000</v>
      </c>
    </row>
    <row r="239" spans="1:13" x14ac:dyDescent="0.25">
      <c r="A239" s="7" t="s">
        <v>248</v>
      </c>
      <c r="B239" s="11" t="s">
        <v>1097</v>
      </c>
      <c r="C239" s="7">
        <f t="shared" si="12"/>
        <v>4</v>
      </c>
      <c r="D239" s="7" t="str">
        <f t="shared" si="13"/>
        <v>Apr</v>
      </c>
      <c r="E239" s="7" t="s">
        <v>1352</v>
      </c>
      <c r="F239" s="7" t="str">
        <f t="shared" si="14"/>
        <v>Ahmad Fauzi</v>
      </c>
      <c r="G239" s="7" t="s">
        <v>1361</v>
      </c>
      <c r="H239" s="7" t="s">
        <v>1368</v>
      </c>
      <c r="I239" s="7">
        <v>4</v>
      </c>
      <c r="J239" s="7" t="str">
        <f>INDEX(Master_Produk!$C$2:$C$11,MATCH(H239,Master_Produk!$A$2:$A$11,0))</f>
        <v>Furnitur</v>
      </c>
      <c r="K239" s="8">
        <f>INDEX(Master_Produk!$E$2:$E$11,MATCH(Data_Transaksi!H239,Master_Produk!$A$2:$A$11,0))</f>
        <v>650000</v>
      </c>
      <c r="L239" s="8">
        <f t="shared" si="15"/>
        <v>2600000</v>
      </c>
      <c r="M239" s="8">
        <f>INDEX(Master_Target!$B$2:$M$4, MATCH(J239, Master_Target!$A$2:$A$4, 0), MATCH(TEXT(B239, "[$-421]mmmm"), Master_Target!$B$1:$M$1, 0))</f>
        <v>26000000</v>
      </c>
    </row>
    <row r="240" spans="1:13" x14ac:dyDescent="0.25">
      <c r="A240" s="7" t="s">
        <v>249</v>
      </c>
      <c r="B240" s="11" t="s">
        <v>1097</v>
      </c>
      <c r="C240" s="7">
        <f t="shared" si="12"/>
        <v>4</v>
      </c>
      <c r="D240" s="7" t="str">
        <f t="shared" si="13"/>
        <v>Apr</v>
      </c>
      <c r="E240" s="7" t="s">
        <v>1355</v>
      </c>
      <c r="F240" s="7" t="str">
        <f t="shared" si="14"/>
        <v>Bambang H.</v>
      </c>
      <c r="G240" s="7" t="s">
        <v>1359</v>
      </c>
      <c r="H240" s="7" t="s">
        <v>1363</v>
      </c>
      <c r="I240" s="7">
        <v>1</v>
      </c>
      <c r="J240" s="7" t="str">
        <f>INDEX(Master_Produk!$C$2:$C$11,MATCH(H240,Master_Produk!$A$2:$A$11,0))</f>
        <v>Pakaian</v>
      </c>
      <c r="K240" s="8">
        <f>INDEX(Master_Produk!$E$2:$E$11,MATCH(Data_Transaksi!H240,Master_Produk!$A$2:$A$11,0))</f>
        <v>250000</v>
      </c>
      <c r="L240" s="8">
        <f t="shared" si="15"/>
        <v>250000</v>
      </c>
      <c r="M240" s="8">
        <f>INDEX(Master_Target!$B$2:$M$4, MATCH(J240, Master_Target!$A$2:$A$4, 0), MATCH(TEXT(B240, "[$-421]mmmm"), Master_Target!$B$1:$M$1, 0))</f>
        <v>19500000</v>
      </c>
    </row>
    <row r="241" spans="1:13" x14ac:dyDescent="0.25">
      <c r="A241" s="7" t="s">
        <v>250</v>
      </c>
      <c r="B241" s="11" t="s">
        <v>1097</v>
      </c>
      <c r="C241" s="7">
        <f t="shared" si="12"/>
        <v>4</v>
      </c>
      <c r="D241" s="7" t="str">
        <f t="shared" si="13"/>
        <v>Apr</v>
      </c>
      <c r="E241" s="7" t="s">
        <v>1351</v>
      </c>
      <c r="F241" s="7" t="str">
        <f t="shared" si="14"/>
        <v>Siti Rahma</v>
      </c>
      <c r="G241" s="7" t="s">
        <v>1361</v>
      </c>
      <c r="H241" s="7" t="s">
        <v>1368</v>
      </c>
      <c r="I241" s="7">
        <v>2</v>
      </c>
      <c r="J241" s="7" t="str">
        <f>INDEX(Master_Produk!$C$2:$C$11,MATCH(H241,Master_Produk!$A$2:$A$11,0))</f>
        <v>Furnitur</v>
      </c>
      <c r="K241" s="8">
        <f>INDEX(Master_Produk!$E$2:$E$11,MATCH(Data_Transaksi!H241,Master_Produk!$A$2:$A$11,0))</f>
        <v>650000</v>
      </c>
      <c r="L241" s="8">
        <f t="shared" si="15"/>
        <v>1300000</v>
      </c>
      <c r="M241" s="8">
        <f>INDEX(Master_Target!$B$2:$M$4, MATCH(J241, Master_Target!$A$2:$A$4, 0), MATCH(TEXT(B241, "[$-421]mmmm"), Master_Target!$B$1:$M$1, 0))</f>
        <v>26000000</v>
      </c>
    </row>
    <row r="242" spans="1:13" x14ac:dyDescent="0.25">
      <c r="A242" s="7" t="s">
        <v>251</v>
      </c>
      <c r="B242" s="11" t="s">
        <v>1097</v>
      </c>
      <c r="C242" s="7">
        <f t="shared" si="12"/>
        <v>4</v>
      </c>
      <c r="D242" s="7" t="str">
        <f t="shared" si="13"/>
        <v>Apr</v>
      </c>
      <c r="E242" s="7" t="s">
        <v>1354</v>
      </c>
      <c r="F242" s="7" t="str">
        <f t="shared" si="14"/>
        <v>Mega Utami</v>
      </c>
      <c r="G242" s="7" t="s">
        <v>1360</v>
      </c>
      <c r="H242" s="7" t="s">
        <v>1363</v>
      </c>
      <c r="I242" s="7">
        <v>1</v>
      </c>
      <c r="J242" s="7" t="str">
        <f>INDEX(Master_Produk!$C$2:$C$11,MATCH(H242,Master_Produk!$A$2:$A$11,0))</f>
        <v>Pakaian</v>
      </c>
      <c r="K242" s="8">
        <f>INDEX(Master_Produk!$E$2:$E$11,MATCH(Data_Transaksi!H242,Master_Produk!$A$2:$A$11,0))</f>
        <v>250000</v>
      </c>
      <c r="L242" s="8">
        <f t="shared" si="15"/>
        <v>250000</v>
      </c>
      <c r="M242" s="8">
        <f>INDEX(Master_Target!$B$2:$M$4, MATCH(J242, Master_Target!$A$2:$A$4, 0), MATCH(TEXT(B242, "[$-421]mmmm"), Master_Target!$B$1:$M$1, 0))</f>
        <v>19500000</v>
      </c>
    </row>
    <row r="243" spans="1:13" x14ac:dyDescent="0.25">
      <c r="A243" s="7" t="s">
        <v>252</v>
      </c>
      <c r="B243" s="11" t="s">
        <v>1097</v>
      </c>
      <c r="C243" s="7">
        <f t="shared" si="12"/>
        <v>4</v>
      </c>
      <c r="D243" s="7" t="str">
        <f t="shared" si="13"/>
        <v>Apr</v>
      </c>
      <c r="E243" s="7" t="s">
        <v>1351</v>
      </c>
      <c r="F243" s="7" t="str">
        <f t="shared" si="14"/>
        <v>Siti Rahma</v>
      </c>
      <c r="G243" s="7" t="s">
        <v>1358</v>
      </c>
      <c r="H243" s="7" t="s">
        <v>1370</v>
      </c>
      <c r="I243" s="7">
        <v>2</v>
      </c>
      <c r="J243" s="7" t="str">
        <f>INDEX(Master_Produk!$C$2:$C$11,MATCH(H243,Master_Produk!$A$2:$A$11,0))</f>
        <v>Furnitur</v>
      </c>
      <c r="K243" s="8">
        <f>INDEX(Master_Produk!$E$2:$E$11,MATCH(Data_Transaksi!H243,Master_Produk!$A$2:$A$11,0))</f>
        <v>1200000</v>
      </c>
      <c r="L243" s="8">
        <f t="shared" si="15"/>
        <v>2400000</v>
      </c>
      <c r="M243" s="8">
        <f>INDEX(Master_Target!$B$2:$M$4, MATCH(J243, Master_Target!$A$2:$A$4, 0), MATCH(TEXT(B243, "[$-421]mmmm"), Master_Target!$B$1:$M$1, 0))</f>
        <v>26000000</v>
      </c>
    </row>
    <row r="244" spans="1:13" x14ac:dyDescent="0.25">
      <c r="A244" s="7" t="s">
        <v>253</v>
      </c>
      <c r="B244" s="11" t="s">
        <v>1098</v>
      </c>
      <c r="C244" s="7">
        <f t="shared" si="12"/>
        <v>4</v>
      </c>
      <c r="D244" s="7" t="str">
        <f t="shared" si="13"/>
        <v>Apr</v>
      </c>
      <c r="E244" s="7" t="s">
        <v>1349</v>
      </c>
      <c r="F244" s="7" t="str">
        <f t="shared" si="14"/>
        <v>Dewi Lestari</v>
      </c>
      <c r="G244" s="7" t="s">
        <v>1361</v>
      </c>
      <c r="H244" s="7" t="s">
        <v>1369</v>
      </c>
      <c r="I244" s="7">
        <v>2</v>
      </c>
      <c r="J244" s="7" t="str">
        <f>INDEX(Master_Produk!$C$2:$C$11,MATCH(H244,Master_Produk!$A$2:$A$11,0))</f>
        <v>Elektronik</v>
      </c>
      <c r="K244" s="8">
        <f>INDEX(Master_Produk!$E$2:$E$11,MATCH(Data_Transaksi!H244,Master_Produk!$A$2:$A$11,0))</f>
        <v>4500000</v>
      </c>
      <c r="L244" s="8">
        <f t="shared" si="15"/>
        <v>9000000</v>
      </c>
      <c r="M244" s="8">
        <f>INDEX(Master_Target!$B$2:$M$4, MATCH(J244, Master_Target!$A$2:$A$4, 0), MATCH(TEXT(B244, "[$-421]mmmm"), Master_Target!$B$1:$M$1, 0))</f>
        <v>65000000</v>
      </c>
    </row>
    <row r="245" spans="1:13" x14ac:dyDescent="0.25">
      <c r="A245" s="7" t="s">
        <v>254</v>
      </c>
      <c r="B245" s="11" t="s">
        <v>1098</v>
      </c>
      <c r="C245" s="7">
        <f t="shared" si="12"/>
        <v>4</v>
      </c>
      <c r="D245" s="7" t="str">
        <f t="shared" si="13"/>
        <v>Apr</v>
      </c>
      <c r="E245" s="7" t="s">
        <v>1355</v>
      </c>
      <c r="F245" s="7" t="str">
        <f t="shared" si="14"/>
        <v>Bambang H.</v>
      </c>
      <c r="G245" s="7" t="s">
        <v>1361</v>
      </c>
      <c r="H245" s="7" t="s">
        <v>1362</v>
      </c>
      <c r="I245" s="7">
        <v>3</v>
      </c>
      <c r="J245" s="7" t="str">
        <f>INDEX(Master_Produk!$C$2:$C$11,MATCH(H245,Master_Produk!$A$2:$A$11,0))</f>
        <v>Pakaian</v>
      </c>
      <c r="K245" s="8">
        <f>INDEX(Master_Produk!$E$2:$E$11,MATCH(Data_Transaksi!H245,Master_Produk!$A$2:$A$11,0))</f>
        <v>350000</v>
      </c>
      <c r="L245" s="8">
        <f t="shared" si="15"/>
        <v>1050000</v>
      </c>
      <c r="M245" s="8">
        <f>INDEX(Master_Target!$B$2:$M$4, MATCH(J245, Master_Target!$A$2:$A$4, 0), MATCH(TEXT(B245, "[$-421]mmmm"), Master_Target!$B$1:$M$1, 0))</f>
        <v>19500000</v>
      </c>
    </row>
    <row r="246" spans="1:13" x14ac:dyDescent="0.25">
      <c r="A246" s="7" t="s">
        <v>255</v>
      </c>
      <c r="B246" s="11" t="s">
        <v>1098</v>
      </c>
      <c r="C246" s="7">
        <f t="shared" si="12"/>
        <v>4</v>
      </c>
      <c r="D246" s="7" t="str">
        <f t="shared" si="13"/>
        <v>Apr</v>
      </c>
      <c r="E246" s="7" t="s">
        <v>1350</v>
      </c>
      <c r="F246" s="7" t="str">
        <f t="shared" si="14"/>
        <v>Andi Wijaya</v>
      </c>
      <c r="G246" s="7" t="s">
        <v>1357</v>
      </c>
      <c r="H246" s="7" t="s">
        <v>1362</v>
      </c>
      <c r="I246" s="7">
        <v>1</v>
      </c>
      <c r="J246" s="7" t="str">
        <f>INDEX(Master_Produk!$C$2:$C$11,MATCH(H246,Master_Produk!$A$2:$A$11,0))</f>
        <v>Pakaian</v>
      </c>
      <c r="K246" s="8">
        <f>INDEX(Master_Produk!$E$2:$E$11,MATCH(Data_Transaksi!H246,Master_Produk!$A$2:$A$11,0))</f>
        <v>350000</v>
      </c>
      <c r="L246" s="8">
        <f t="shared" si="15"/>
        <v>350000</v>
      </c>
      <c r="M246" s="8">
        <f>INDEX(Master_Target!$B$2:$M$4, MATCH(J246, Master_Target!$A$2:$A$4, 0), MATCH(TEXT(B246, "[$-421]mmmm"), Master_Target!$B$1:$M$1, 0))</f>
        <v>19500000</v>
      </c>
    </row>
    <row r="247" spans="1:13" x14ac:dyDescent="0.25">
      <c r="A247" s="7" t="s">
        <v>256</v>
      </c>
      <c r="B247" s="11" t="s">
        <v>1098</v>
      </c>
      <c r="C247" s="7">
        <f t="shared" si="12"/>
        <v>4</v>
      </c>
      <c r="D247" s="7" t="str">
        <f t="shared" si="13"/>
        <v>Apr</v>
      </c>
      <c r="E247" s="7" t="s">
        <v>1347</v>
      </c>
      <c r="F247" s="7" t="str">
        <f t="shared" si="14"/>
        <v>Rina Marlina</v>
      </c>
      <c r="G247" s="7" t="s">
        <v>1360</v>
      </c>
      <c r="H247" s="7" t="s">
        <v>1364</v>
      </c>
      <c r="I247" s="7">
        <v>1</v>
      </c>
      <c r="J247" s="7" t="str">
        <f>INDEX(Master_Produk!$C$2:$C$11,MATCH(H247,Master_Produk!$A$2:$A$11,0))</f>
        <v>Furnitur</v>
      </c>
      <c r="K247" s="8">
        <f>INDEX(Master_Produk!$E$2:$E$11,MATCH(Data_Transaksi!H247,Master_Produk!$A$2:$A$11,0))</f>
        <v>950000</v>
      </c>
      <c r="L247" s="8">
        <f t="shared" si="15"/>
        <v>950000</v>
      </c>
      <c r="M247" s="8">
        <f>INDEX(Master_Target!$B$2:$M$4, MATCH(J247, Master_Target!$A$2:$A$4, 0), MATCH(TEXT(B247, "[$-421]mmmm"), Master_Target!$B$1:$M$1, 0))</f>
        <v>26000000</v>
      </c>
    </row>
    <row r="248" spans="1:13" x14ac:dyDescent="0.25">
      <c r="A248" s="7" t="s">
        <v>257</v>
      </c>
      <c r="B248" s="11" t="s">
        <v>1098</v>
      </c>
      <c r="C248" s="7">
        <f t="shared" si="12"/>
        <v>4</v>
      </c>
      <c r="D248" s="7" t="str">
        <f t="shared" si="13"/>
        <v>Apr</v>
      </c>
      <c r="E248" s="7" t="s">
        <v>1355</v>
      </c>
      <c r="F248" s="7" t="str">
        <f t="shared" si="14"/>
        <v>Bambang H.</v>
      </c>
      <c r="G248" s="7" t="s">
        <v>1360</v>
      </c>
      <c r="H248" s="7" t="s">
        <v>1364</v>
      </c>
      <c r="I248" s="7">
        <v>1</v>
      </c>
      <c r="J248" s="7" t="str">
        <f>INDEX(Master_Produk!$C$2:$C$11,MATCH(H248,Master_Produk!$A$2:$A$11,0))</f>
        <v>Furnitur</v>
      </c>
      <c r="K248" s="8">
        <f>INDEX(Master_Produk!$E$2:$E$11,MATCH(Data_Transaksi!H248,Master_Produk!$A$2:$A$11,0))</f>
        <v>950000</v>
      </c>
      <c r="L248" s="8">
        <f t="shared" si="15"/>
        <v>950000</v>
      </c>
      <c r="M248" s="8">
        <f>INDEX(Master_Target!$B$2:$M$4, MATCH(J248, Master_Target!$A$2:$A$4, 0), MATCH(TEXT(B248, "[$-421]mmmm"), Master_Target!$B$1:$M$1, 0))</f>
        <v>26000000</v>
      </c>
    </row>
    <row r="249" spans="1:13" x14ac:dyDescent="0.25">
      <c r="A249" s="7" t="s">
        <v>258</v>
      </c>
      <c r="B249" s="11" t="s">
        <v>1099</v>
      </c>
      <c r="C249" s="7">
        <f t="shared" si="12"/>
        <v>4</v>
      </c>
      <c r="D249" s="7" t="str">
        <f t="shared" si="13"/>
        <v>Apr</v>
      </c>
      <c r="E249" s="7" t="s">
        <v>1352</v>
      </c>
      <c r="F249" s="7" t="str">
        <f t="shared" si="14"/>
        <v>Ahmad Fauzi</v>
      </c>
      <c r="G249" s="7" t="s">
        <v>1358</v>
      </c>
      <c r="H249" s="7" t="s">
        <v>1366</v>
      </c>
      <c r="I249" s="7">
        <v>4</v>
      </c>
      <c r="J249" s="7" t="str">
        <f>INDEX(Master_Produk!$C$2:$C$11,MATCH(H249,Master_Produk!$A$2:$A$11,0))</f>
        <v>Elektronik</v>
      </c>
      <c r="K249" s="8">
        <f>INDEX(Master_Produk!$E$2:$E$11,MATCH(Data_Transaksi!H249,Master_Produk!$A$2:$A$11,0))</f>
        <v>7500000</v>
      </c>
      <c r="L249" s="8">
        <f t="shared" si="15"/>
        <v>30000000</v>
      </c>
      <c r="M249" s="8">
        <f>INDEX(Master_Target!$B$2:$M$4, MATCH(J249, Master_Target!$A$2:$A$4, 0), MATCH(TEXT(B249, "[$-421]mmmm"), Master_Target!$B$1:$M$1, 0))</f>
        <v>65000000</v>
      </c>
    </row>
    <row r="250" spans="1:13" x14ac:dyDescent="0.25">
      <c r="A250" s="7" t="s">
        <v>259</v>
      </c>
      <c r="B250" s="11" t="s">
        <v>1099</v>
      </c>
      <c r="C250" s="7">
        <f t="shared" si="12"/>
        <v>4</v>
      </c>
      <c r="D250" s="7" t="str">
        <f t="shared" si="13"/>
        <v>Apr</v>
      </c>
      <c r="E250" s="7" t="s">
        <v>1347</v>
      </c>
      <c r="F250" s="7" t="str">
        <f t="shared" si="14"/>
        <v>Rina Marlina</v>
      </c>
      <c r="G250" s="7" t="s">
        <v>1360</v>
      </c>
      <c r="H250" s="7" t="s">
        <v>1368</v>
      </c>
      <c r="I250" s="7">
        <v>4</v>
      </c>
      <c r="J250" s="7" t="str">
        <f>INDEX(Master_Produk!$C$2:$C$11,MATCH(H250,Master_Produk!$A$2:$A$11,0))</f>
        <v>Furnitur</v>
      </c>
      <c r="K250" s="8">
        <f>INDEX(Master_Produk!$E$2:$E$11,MATCH(Data_Transaksi!H250,Master_Produk!$A$2:$A$11,0))</f>
        <v>650000</v>
      </c>
      <c r="L250" s="8">
        <f t="shared" si="15"/>
        <v>2600000</v>
      </c>
      <c r="M250" s="8">
        <f>INDEX(Master_Target!$B$2:$M$4, MATCH(J250, Master_Target!$A$2:$A$4, 0), MATCH(TEXT(B250, "[$-421]mmmm"), Master_Target!$B$1:$M$1, 0))</f>
        <v>26000000</v>
      </c>
    </row>
    <row r="251" spans="1:13" x14ac:dyDescent="0.25">
      <c r="A251" s="7" t="s">
        <v>260</v>
      </c>
      <c r="B251" s="11" t="s">
        <v>1100</v>
      </c>
      <c r="C251" s="7">
        <f t="shared" si="12"/>
        <v>4</v>
      </c>
      <c r="D251" s="7" t="str">
        <f t="shared" si="13"/>
        <v>Apr</v>
      </c>
      <c r="E251" s="7" t="s">
        <v>1348</v>
      </c>
      <c r="F251" s="7" t="str">
        <f t="shared" si="14"/>
        <v>Budi Santoso</v>
      </c>
      <c r="G251" s="7" t="s">
        <v>1361</v>
      </c>
      <c r="H251" s="7" t="s">
        <v>1364</v>
      </c>
      <c r="I251" s="7">
        <v>2</v>
      </c>
      <c r="J251" s="7" t="str">
        <f>INDEX(Master_Produk!$C$2:$C$11,MATCH(H251,Master_Produk!$A$2:$A$11,0))</f>
        <v>Furnitur</v>
      </c>
      <c r="K251" s="8">
        <f>INDEX(Master_Produk!$E$2:$E$11,MATCH(Data_Transaksi!H251,Master_Produk!$A$2:$A$11,0))</f>
        <v>950000</v>
      </c>
      <c r="L251" s="8">
        <f t="shared" si="15"/>
        <v>1900000</v>
      </c>
      <c r="M251" s="8">
        <f>INDEX(Master_Target!$B$2:$M$4, MATCH(J251, Master_Target!$A$2:$A$4, 0), MATCH(TEXT(B251, "[$-421]mmmm"), Master_Target!$B$1:$M$1, 0))</f>
        <v>26000000</v>
      </c>
    </row>
    <row r="252" spans="1:13" x14ac:dyDescent="0.25">
      <c r="A252" s="7" t="s">
        <v>261</v>
      </c>
      <c r="B252" s="11" t="s">
        <v>1100</v>
      </c>
      <c r="C252" s="7">
        <f t="shared" si="12"/>
        <v>4</v>
      </c>
      <c r="D252" s="7" t="str">
        <f t="shared" si="13"/>
        <v>Apr</v>
      </c>
      <c r="E252" s="7" t="s">
        <v>1352</v>
      </c>
      <c r="F252" s="7" t="str">
        <f t="shared" si="14"/>
        <v>Ahmad Fauzi</v>
      </c>
      <c r="G252" s="7" t="s">
        <v>1358</v>
      </c>
      <c r="H252" s="7" t="s">
        <v>1364</v>
      </c>
      <c r="I252" s="7">
        <v>2</v>
      </c>
      <c r="J252" s="7" t="str">
        <f>INDEX(Master_Produk!$C$2:$C$11,MATCH(H252,Master_Produk!$A$2:$A$11,0))</f>
        <v>Furnitur</v>
      </c>
      <c r="K252" s="8">
        <f>INDEX(Master_Produk!$E$2:$E$11,MATCH(Data_Transaksi!H252,Master_Produk!$A$2:$A$11,0))</f>
        <v>950000</v>
      </c>
      <c r="L252" s="8">
        <f t="shared" si="15"/>
        <v>1900000</v>
      </c>
      <c r="M252" s="8">
        <f>INDEX(Master_Target!$B$2:$M$4, MATCH(J252, Master_Target!$A$2:$A$4, 0), MATCH(TEXT(B252, "[$-421]mmmm"), Master_Target!$B$1:$M$1, 0))</f>
        <v>26000000</v>
      </c>
    </row>
    <row r="253" spans="1:13" x14ac:dyDescent="0.25">
      <c r="A253" s="7" t="s">
        <v>262</v>
      </c>
      <c r="B253" s="11" t="s">
        <v>1100</v>
      </c>
      <c r="C253" s="7">
        <f t="shared" si="12"/>
        <v>4</v>
      </c>
      <c r="D253" s="7" t="str">
        <f t="shared" si="13"/>
        <v>Apr</v>
      </c>
      <c r="E253" s="7" t="s">
        <v>1348</v>
      </c>
      <c r="F253" s="7" t="str">
        <f t="shared" si="14"/>
        <v>Budi Santoso</v>
      </c>
      <c r="G253" s="7" t="s">
        <v>1360</v>
      </c>
      <c r="H253" s="7" t="s">
        <v>1366</v>
      </c>
      <c r="I253" s="7">
        <v>2</v>
      </c>
      <c r="J253" s="7" t="str">
        <f>INDEX(Master_Produk!$C$2:$C$11,MATCH(H253,Master_Produk!$A$2:$A$11,0))</f>
        <v>Elektronik</v>
      </c>
      <c r="K253" s="8">
        <f>INDEX(Master_Produk!$E$2:$E$11,MATCH(Data_Transaksi!H253,Master_Produk!$A$2:$A$11,0))</f>
        <v>7500000</v>
      </c>
      <c r="L253" s="8">
        <f t="shared" si="15"/>
        <v>15000000</v>
      </c>
      <c r="M253" s="8">
        <f>INDEX(Master_Target!$B$2:$M$4, MATCH(J253, Master_Target!$A$2:$A$4, 0), MATCH(TEXT(B253, "[$-421]mmmm"), Master_Target!$B$1:$M$1, 0))</f>
        <v>65000000</v>
      </c>
    </row>
    <row r="254" spans="1:13" x14ac:dyDescent="0.25">
      <c r="A254" s="7" t="s">
        <v>263</v>
      </c>
      <c r="B254" s="11" t="s">
        <v>1101</v>
      </c>
      <c r="C254" s="7">
        <f t="shared" si="12"/>
        <v>4</v>
      </c>
      <c r="D254" s="7" t="str">
        <f t="shared" si="13"/>
        <v>Apr</v>
      </c>
      <c r="E254" s="7" t="s">
        <v>1347</v>
      </c>
      <c r="F254" s="7" t="str">
        <f t="shared" si="14"/>
        <v>Rina Marlina</v>
      </c>
      <c r="G254" s="7" t="s">
        <v>1358</v>
      </c>
      <c r="H254" s="7" t="s">
        <v>1369</v>
      </c>
      <c r="I254" s="7">
        <v>1</v>
      </c>
      <c r="J254" s="7" t="str">
        <f>INDEX(Master_Produk!$C$2:$C$11,MATCH(H254,Master_Produk!$A$2:$A$11,0))</f>
        <v>Elektronik</v>
      </c>
      <c r="K254" s="8">
        <f>INDEX(Master_Produk!$E$2:$E$11,MATCH(Data_Transaksi!H254,Master_Produk!$A$2:$A$11,0))</f>
        <v>4500000</v>
      </c>
      <c r="L254" s="8">
        <f t="shared" si="15"/>
        <v>4500000</v>
      </c>
      <c r="M254" s="8">
        <f>INDEX(Master_Target!$B$2:$M$4, MATCH(J254, Master_Target!$A$2:$A$4, 0), MATCH(TEXT(B254, "[$-421]mmmm"), Master_Target!$B$1:$M$1, 0))</f>
        <v>65000000</v>
      </c>
    </row>
    <row r="255" spans="1:13" x14ac:dyDescent="0.25">
      <c r="A255" s="7" t="s">
        <v>264</v>
      </c>
      <c r="B255" s="11" t="s">
        <v>1101</v>
      </c>
      <c r="C255" s="7">
        <f t="shared" si="12"/>
        <v>4</v>
      </c>
      <c r="D255" s="7" t="str">
        <f t="shared" si="13"/>
        <v>Apr</v>
      </c>
      <c r="E255" s="7" t="s">
        <v>1350</v>
      </c>
      <c r="F255" s="7" t="str">
        <f t="shared" si="14"/>
        <v>Andi Wijaya</v>
      </c>
      <c r="G255" s="7" t="s">
        <v>1360</v>
      </c>
      <c r="H255" s="7" t="s">
        <v>1365</v>
      </c>
      <c r="I255" s="7">
        <v>4</v>
      </c>
      <c r="J255" s="7" t="str">
        <f>INDEX(Master_Produk!$C$2:$C$11,MATCH(H255,Master_Produk!$A$2:$A$11,0))</f>
        <v>Elektronik</v>
      </c>
      <c r="K255" s="8">
        <f>INDEX(Master_Produk!$E$2:$E$11,MATCH(Data_Transaksi!H255,Master_Produk!$A$2:$A$11,0))</f>
        <v>1800000</v>
      </c>
      <c r="L255" s="8">
        <f t="shared" si="15"/>
        <v>7200000</v>
      </c>
      <c r="M255" s="8">
        <f>INDEX(Master_Target!$B$2:$M$4, MATCH(J255, Master_Target!$A$2:$A$4, 0), MATCH(TEXT(B255, "[$-421]mmmm"), Master_Target!$B$1:$M$1, 0))</f>
        <v>65000000</v>
      </c>
    </row>
    <row r="256" spans="1:13" x14ac:dyDescent="0.25">
      <c r="A256" s="7" t="s">
        <v>265</v>
      </c>
      <c r="B256" s="11" t="s">
        <v>1101</v>
      </c>
      <c r="C256" s="7">
        <f t="shared" si="12"/>
        <v>4</v>
      </c>
      <c r="D256" s="7" t="str">
        <f t="shared" si="13"/>
        <v>Apr</v>
      </c>
      <c r="E256" s="7" t="s">
        <v>1351</v>
      </c>
      <c r="F256" s="7" t="str">
        <f t="shared" si="14"/>
        <v>Siti Rahma</v>
      </c>
      <c r="G256" s="7" t="s">
        <v>1360</v>
      </c>
      <c r="H256" s="7" t="s">
        <v>1371</v>
      </c>
      <c r="I256" s="7">
        <v>2</v>
      </c>
      <c r="J256" s="7" t="str">
        <f>INDEX(Master_Produk!$C$2:$C$11,MATCH(H256,Master_Produk!$A$2:$A$11,0))</f>
        <v>Pakaian</v>
      </c>
      <c r="K256" s="8">
        <f>INDEX(Master_Produk!$E$2:$E$11,MATCH(Data_Transaksi!H256,Master_Produk!$A$2:$A$11,0))</f>
        <v>280000</v>
      </c>
      <c r="L256" s="8">
        <f t="shared" si="15"/>
        <v>560000</v>
      </c>
      <c r="M256" s="8">
        <f>INDEX(Master_Target!$B$2:$M$4, MATCH(J256, Master_Target!$A$2:$A$4, 0), MATCH(TEXT(B256, "[$-421]mmmm"), Master_Target!$B$1:$M$1, 0))</f>
        <v>19500000</v>
      </c>
    </row>
    <row r="257" spans="1:13" x14ac:dyDescent="0.25">
      <c r="A257" s="7" t="s">
        <v>266</v>
      </c>
      <c r="B257" s="11" t="s">
        <v>1101</v>
      </c>
      <c r="C257" s="7">
        <f t="shared" si="12"/>
        <v>4</v>
      </c>
      <c r="D257" s="7" t="str">
        <f t="shared" si="13"/>
        <v>Apr</v>
      </c>
      <c r="E257" s="7" t="s">
        <v>1354</v>
      </c>
      <c r="F257" s="7" t="str">
        <f t="shared" si="14"/>
        <v>Mega Utami</v>
      </c>
      <c r="G257" s="7" t="s">
        <v>1357</v>
      </c>
      <c r="H257" s="7" t="s">
        <v>1367</v>
      </c>
      <c r="I257" s="7">
        <v>1</v>
      </c>
      <c r="J257" s="7" t="str">
        <f>INDEX(Master_Produk!$C$2:$C$11,MATCH(H257,Master_Produk!$A$2:$A$11,0))</f>
        <v>Elektronik</v>
      </c>
      <c r="K257" s="8">
        <f>INDEX(Master_Produk!$E$2:$E$11,MATCH(Data_Transaksi!H257,Master_Produk!$A$2:$A$11,0))</f>
        <v>250000</v>
      </c>
      <c r="L257" s="8">
        <f t="shared" si="15"/>
        <v>250000</v>
      </c>
      <c r="M257" s="8">
        <f>INDEX(Master_Target!$B$2:$M$4, MATCH(J257, Master_Target!$A$2:$A$4, 0), MATCH(TEXT(B257, "[$-421]mmmm"), Master_Target!$B$1:$M$1, 0))</f>
        <v>65000000</v>
      </c>
    </row>
    <row r="258" spans="1:13" x14ac:dyDescent="0.25">
      <c r="A258" s="7" t="s">
        <v>267</v>
      </c>
      <c r="B258" s="11" t="s">
        <v>1101</v>
      </c>
      <c r="C258" s="7">
        <f t="shared" si="12"/>
        <v>4</v>
      </c>
      <c r="D258" s="7" t="str">
        <f t="shared" si="13"/>
        <v>Apr</v>
      </c>
      <c r="E258" s="7" t="s">
        <v>1355</v>
      </c>
      <c r="F258" s="7" t="str">
        <f t="shared" si="14"/>
        <v>Bambang H.</v>
      </c>
      <c r="G258" s="7" t="s">
        <v>1360</v>
      </c>
      <c r="H258" s="7" t="s">
        <v>1369</v>
      </c>
      <c r="I258" s="7">
        <v>2</v>
      </c>
      <c r="J258" s="7" t="str">
        <f>INDEX(Master_Produk!$C$2:$C$11,MATCH(H258,Master_Produk!$A$2:$A$11,0))</f>
        <v>Elektronik</v>
      </c>
      <c r="K258" s="8">
        <f>INDEX(Master_Produk!$E$2:$E$11,MATCH(Data_Transaksi!H258,Master_Produk!$A$2:$A$11,0))</f>
        <v>4500000</v>
      </c>
      <c r="L258" s="8">
        <f t="shared" si="15"/>
        <v>9000000</v>
      </c>
      <c r="M258" s="8">
        <f>INDEX(Master_Target!$B$2:$M$4, MATCH(J258, Master_Target!$A$2:$A$4, 0), MATCH(TEXT(B258, "[$-421]mmmm"), Master_Target!$B$1:$M$1, 0))</f>
        <v>65000000</v>
      </c>
    </row>
    <row r="259" spans="1:13" x14ac:dyDescent="0.25">
      <c r="A259" s="7" t="s">
        <v>268</v>
      </c>
      <c r="B259" s="11" t="s">
        <v>1101</v>
      </c>
      <c r="C259" s="7">
        <f t="shared" ref="C259:C322" si="16">MONTH(B259)</f>
        <v>4</v>
      </c>
      <c r="D259" s="7" t="str">
        <f t="shared" ref="D259:D322" si="17">TEXT(B259,"mmm")</f>
        <v>Apr</v>
      </c>
      <c r="E259" s="7" t="s">
        <v>1355</v>
      </c>
      <c r="F259" s="7" t="str">
        <f t="shared" ref="F259:F322" si="18">TRIM(PROPER(E259))</f>
        <v>Bambang H.</v>
      </c>
      <c r="G259" s="7" t="s">
        <v>1358</v>
      </c>
      <c r="H259" s="7" t="s">
        <v>1370</v>
      </c>
      <c r="I259" s="7">
        <v>1</v>
      </c>
      <c r="J259" s="7" t="str">
        <f>INDEX(Master_Produk!$C$2:$C$11,MATCH(H259,Master_Produk!$A$2:$A$11,0))</f>
        <v>Furnitur</v>
      </c>
      <c r="K259" s="8">
        <f>INDEX(Master_Produk!$E$2:$E$11,MATCH(Data_Transaksi!H259,Master_Produk!$A$2:$A$11,0))</f>
        <v>1200000</v>
      </c>
      <c r="L259" s="8">
        <f t="shared" ref="L259:L322" si="19">I259*K259</f>
        <v>1200000</v>
      </c>
      <c r="M259" s="8">
        <f>INDEX(Master_Target!$B$2:$M$4, MATCH(J259, Master_Target!$A$2:$A$4, 0), MATCH(TEXT(B259, "[$-421]mmmm"), Master_Target!$B$1:$M$1, 0))</f>
        <v>26000000</v>
      </c>
    </row>
    <row r="260" spans="1:13" x14ac:dyDescent="0.25">
      <c r="A260" s="7" t="s">
        <v>269</v>
      </c>
      <c r="B260" s="11" t="s">
        <v>1101</v>
      </c>
      <c r="C260" s="7">
        <f t="shared" si="16"/>
        <v>4</v>
      </c>
      <c r="D260" s="7" t="str">
        <f t="shared" si="17"/>
        <v>Apr</v>
      </c>
      <c r="E260" s="7" t="s">
        <v>1350</v>
      </c>
      <c r="F260" s="7" t="str">
        <f t="shared" si="18"/>
        <v>Andi Wijaya</v>
      </c>
      <c r="G260" s="7" t="s">
        <v>1361</v>
      </c>
      <c r="H260" s="7" t="s">
        <v>1366</v>
      </c>
      <c r="I260" s="7">
        <v>1</v>
      </c>
      <c r="J260" s="7" t="str">
        <f>INDEX(Master_Produk!$C$2:$C$11,MATCH(H260,Master_Produk!$A$2:$A$11,0))</f>
        <v>Elektronik</v>
      </c>
      <c r="K260" s="8">
        <f>INDEX(Master_Produk!$E$2:$E$11,MATCH(Data_Transaksi!H260,Master_Produk!$A$2:$A$11,0))</f>
        <v>7500000</v>
      </c>
      <c r="L260" s="8">
        <f t="shared" si="19"/>
        <v>7500000</v>
      </c>
      <c r="M260" s="8">
        <f>INDEX(Master_Target!$B$2:$M$4, MATCH(J260, Master_Target!$A$2:$A$4, 0), MATCH(TEXT(B260, "[$-421]mmmm"), Master_Target!$B$1:$M$1, 0))</f>
        <v>65000000</v>
      </c>
    </row>
    <row r="261" spans="1:13" x14ac:dyDescent="0.25">
      <c r="A261" s="7" t="s">
        <v>270</v>
      </c>
      <c r="B261" s="11" t="s">
        <v>1101</v>
      </c>
      <c r="C261" s="7">
        <f t="shared" si="16"/>
        <v>4</v>
      </c>
      <c r="D261" s="7" t="str">
        <f t="shared" si="17"/>
        <v>Apr</v>
      </c>
      <c r="E261" s="7" t="s">
        <v>1354</v>
      </c>
      <c r="F261" s="7" t="str">
        <f t="shared" si="18"/>
        <v>Mega Utami</v>
      </c>
      <c r="G261" s="7" t="s">
        <v>1357</v>
      </c>
      <c r="H261" s="7" t="s">
        <v>1368</v>
      </c>
      <c r="I261" s="7">
        <v>3</v>
      </c>
      <c r="J261" s="7" t="str">
        <f>INDEX(Master_Produk!$C$2:$C$11,MATCH(H261,Master_Produk!$A$2:$A$11,0))</f>
        <v>Furnitur</v>
      </c>
      <c r="K261" s="8">
        <f>INDEX(Master_Produk!$E$2:$E$11,MATCH(Data_Transaksi!H261,Master_Produk!$A$2:$A$11,0))</f>
        <v>650000</v>
      </c>
      <c r="L261" s="8">
        <f t="shared" si="19"/>
        <v>1950000</v>
      </c>
      <c r="M261" s="8">
        <f>INDEX(Master_Target!$B$2:$M$4, MATCH(J261, Master_Target!$A$2:$A$4, 0), MATCH(TEXT(B261, "[$-421]mmmm"), Master_Target!$B$1:$M$1, 0))</f>
        <v>26000000</v>
      </c>
    </row>
    <row r="262" spans="1:13" x14ac:dyDescent="0.25">
      <c r="A262" s="7" t="s">
        <v>271</v>
      </c>
      <c r="B262" s="11" t="s">
        <v>1101</v>
      </c>
      <c r="C262" s="7">
        <f t="shared" si="16"/>
        <v>4</v>
      </c>
      <c r="D262" s="7" t="str">
        <f t="shared" si="17"/>
        <v>Apr</v>
      </c>
      <c r="E262" s="7" t="s">
        <v>1348</v>
      </c>
      <c r="F262" s="7" t="str">
        <f t="shared" si="18"/>
        <v>Budi Santoso</v>
      </c>
      <c r="G262" s="7" t="s">
        <v>1360</v>
      </c>
      <c r="H262" s="7" t="s">
        <v>1370</v>
      </c>
      <c r="I262" s="7">
        <v>1</v>
      </c>
      <c r="J262" s="7" t="str">
        <f>INDEX(Master_Produk!$C$2:$C$11,MATCH(H262,Master_Produk!$A$2:$A$11,0))</f>
        <v>Furnitur</v>
      </c>
      <c r="K262" s="8">
        <f>INDEX(Master_Produk!$E$2:$E$11,MATCH(Data_Transaksi!H262,Master_Produk!$A$2:$A$11,0))</f>
        <v>1200000</v>
      </c>
      <c r="L262" s="8">
        <f t="shared" si="19"/>
        <v>1200000</v>
      </c>
      <c r="M262" s="8">
        <f>INDEX(Master_Target!$B$2:$M$4, MATCH(J262, Master_Target!$A$2:$A$4, 0), MATCH(TEXT(B262, "[$-421]mmmm"), Master_Target!$B$1:$M$1, 0))</f>
        <v>26000000</v>
      </c>
    </row>
    <row r="263" spans="1:13" x14ac:dyDescent="0.25">
      <c r="A263" s="7" t="s">
        <v>272</v>
      </c>
      <c r="B263" s="11" t="s">
        <v>1102</v>
      </c>
      <c r="C263" s="7">
        <f t="shared" si="16"/>
        <v>4</v>
      </c>
      <c r="D263" s="7" t="str">
        <f t="shared" si="17"/>
        <v>Apr</v>
      </c>
      <c r="E263" s="7" t="s">
        <v>1351</v>
      </c>
      <c r="F263" s="7" t="str">
        <f t="shared" si="18"/>
        <v>Siti Rahma</v>
      </c>
      <c r="G263" s="7" t="s">
        <v>1360</v>
      </c>
      <c r="H263" s="7" t="s">
        <v>1365</v>
      </c>
      <c r="I263" s="7">
        <v>2</v>
      </c>
      <c r="J263" s="7" t="str">
        <f>INDEX(Master_Produk!$C$2:$C$11,MATCH(H263,Master_Produk!$A$2:$A$11,0))</f>
        <v>Elektronik</v>
      </c>
      <c r="K263" s="8">
        <f>INDEX(Master_Produk!$E$2:$E$11,MATCH(Data_Transaksi!H263,Master_Produk!$A$2:$A$11,0))</f>
        <v>1800000</v>
      </c>
      <c r="L263" s="8">
        <f t="shared" si="19"/>
        <v>3600000</v>
      </c>
      <c r="M263" s="8">
        <f>INDEX(Master_Target!$B$2:$M$4, MATCH(J263, Master_Target!$A$2:$A$4, 0), MATCH(TEXT(B263, "[$-421]mmmm"), Master_Target!$B$1:$M$1, 0))</f>
        <v>65000000</v>
      </c>
    </row>
    <row r="264" spans="1:13" x14ac:dyDescent="0.25">
      <c r="A264" s="7" t="s">
        <v>273</v>
      </c>
      <c r="B264" s="11" t="s">
        <v>1102</v>
      </c>
      <c r="C264" s="7">
        <f t="shared" si="16"/>
        <v>4</v>
      </c>
      <c r="D264" s="7" t="str">
        <f t="shared" si="17"/>
        <v>Apr</v>
      </c>
      <c r="E264" s="7" t="s">
        <v>1354</v>
      </c>
      <c r="F264" s="7" t="str">
        <f t="shared" si="18"/>
        <v>Mega Utami</v>
      </c>
      <c r="G264" s="7" t="s">
        <v>1358</v>
      </c>
      <c r="H264" s="7" t="s">
        <v>1367</v>
      </c>
      <c r="I264" s="7">
        <v>1</v>
      </c>
      <c r="J264" s="7" t="str">
        <f>INDEX(Master_Produk!$C$2:$C$11,MATCH(H264,Master_Produk!$A$2:$A$11,0))</f>
        <v>Elektronik</v>
      </c>
      <c r="K264" s="8">
        <f>INDEX(Master_Produk!$E$2:$E$11,MATCH(Data_Transaksi!H264,Master_Produk!$A$2:$A$11,0))</f>
        <v>250000</v>
      </c>
      <c r="L264" s="8">
        <f t="shared" si="19"/>
        <v>250000</v>
      </c>
      <c r="M264" s="8">
        <f>INDEX(Master_Target!$B$2:$M$4, MATCH(J264, Master_Target!$A$2:$A$4, 0), MATCH(TEXT(B264, "[$-421]mmmm"), Master_Target!$B$1:$M$1, 0))</f>
        <v>65000000</v>
      </c>
    </row>
    <row r="265" spans="1:13" x14ac:dyDescent="0.25">
      <c r="A265" s="7" t="s">
        <v>274</v>
      </c>
      <c r="B265" s="11" t="s">
        <v>1102</v>
      </c>
      <c r="C265" s="7">
        <f t="shared" si="16"/>
        <v>4</v>
      </c>
      <c r="D265" s="7" t="str">
        <f t="shared" si="17"/>
        <v>Apr</v>
      </c>
      <c r="E265" s="7" t="s">
        <v>1348</v>
      </c>
      <c r="F265" s="7" t="str">
        <f t="shared" si="18"/>
        <v>Budi Santoso</v>
      </c>
      <c r="G265" s="7" t="s">
        <v>1357</v>
      </c>
      <c r="H265" s="7" t="s">
        <v>1367</v>
      </c>
      <c r="I265" s="7">
        <v>1</v>
      </c>
      <c r="J265" s="7" t="str">
        <f>INDEX(Master_Produk!$C$2:$C$11,MATCH(H265,Master_Produk!$A$2:$A$11,0))</f>
        <v>Elektronik</v>
      </c>
      <c r="K265" s="8">
        <f>INDEX(Master_Produk!$E$2:$E$11,MATCH(Data_Transaksi!H265,Master_Produk!$A$2:$A$11,0))</f>
        <v>250000</v>
      </c>
      <c r="L265" s="8">
        <f t="shared" si="19"/>
        <v>250000</v>
      </c>
      <c r="M265" s="8">
        <f>INDEX(Master_Target!$B$2:$M$4, MATCH(J265, Master_Target!$A$2:$A$4, 0), MATCH(TEXT(B265, "[$-421]mmmm"), Master_Target!$B$1:$M$1, 0))</f>
        <v>65000000</v>
      </c>
    </row>
    <row r="266" spans="1:13" x14ac:dyDescent="0.25">
      <c r="A266" s="7" t="s">
        <v>275</v>
      </c>
      <c r="B266" s="11" t="s">
        <v>1102</v>
      </c>
      <c r="C266" s="7">
        <f t="shared" si="16"/>
        <v>4</v>
      </c>
      <c r="D266" s="7" t="str">
        <f t="shared" si="17"/>
        <v>Apr</v>
      </c>
      <c r="E266" s="7" t="s">
        <v>1354</v>
      </c>
      <c r="F266" s="7" t="str">
        <f t="shared" si="18"/>
        <v>Mega Utami</v>
      </c>
      <c r="G266" s="7" t="s">
        <v>1360</v>
      </c>
      <c r="H266" s="7" t="s">
        <v>1364</v>
      </c>
      <c r="I266" s="7">
        <v>1</v>
      </c>
      <c r="J266" s="7" t="str">
        <f>INDEX(Master_Produk!$C$2:$C$11,MATCH(H266,Master_Produk!$A$2:$A$11,0))</f>
        <v>Furnitur</v>
      </c>
      <c r="K266" s="8">
        <f>INDEX(Master_Produk!$E$2:$E$11,MATCH(Data_Transaksi!H266,Master_Produk!$A$2:$A$11,0))</f>
        <v>950000</v>
      </c>
      <c r="L266" s="8">
        <f t="shared" si="19"/>
        <v>950000</v>
      </c>
      <c r="M266" s="8">
        <f>INDEX(Master_Target!$B$2:$M$4, MATCH(J266, Master_Target!$A$2:$A$4, 0), MATCH(TEXT(B266, "[$-421]mmmm"), Master_Target!$B$1:$M$1, 0))</f>
        <v>26000000</v>
      </c>
    </row>
    <row r="267" spans="1:13" x14ac:dyDescent="0.25">
      <c r="A267" s="7" t="s">
        <v>276</v>
      </c>
      <c r="B267" s="11" t="s">
        <v>1103</v>
      </c>
      <c r="C267" s="7">
        <f t="shared" si="16"/>
        <v>4</v>
      </c>
      <c r="D267" s="7" t="str">
        <f t="shared" si="17"/>
        <v>Apr</v>
      </c>
      <c r="E267" s="7" t="s">
        <v>1349</v>
      </c>
      <c r="F267" s="7" t="str">
        <f t="shared" si="18"/>
        <v>Dewi Lestari</v>
      </c>
      <c r="G267" s="7" t="s">
        <v>1361</v>
      </c>
      <c r="H267" s="7" t="s">
        <v>1363</v>
      </c>
      <c r="I267" s="7">
        <v>1</v>
      </c>
      <c r="J267" s="7" t="str">
        <f>INDEX(Master_Produk!$C$2:$C$11,MATCH(H267,Master_Produk!$A$2:$A$11,0))</f>
        <v>Pakaian</v>
      </c>
      <c r="K267" s="8">
        <f>INDEX(Master_Produk!$E$2:$E$11,MATCH(Data_Transaksi!H267,Master_Produk!$A$2:$A$11,0))</f>
        <v>250000</v>
      </c>
      <c r="L267" s="8">
        <f t="shared" si="19"/>
        <v>250000</v>
      </c>
      <c r="M267" s="8">
        <f>INDEX(Master_Target!$B$2:$M$4, MATCH(J267, Master_Target!$A$2:$A$4, 0), MATCH(TEXT(B267, "[$-421]mmmm"), Master_Target!$B$1:$M$1, 0))</f>
        <v>19500000</v>
      </c>
    </row>
    <row r="268" spans="1:13" x14ac:dyDescent="0.25">
      <c r="A268" s="7" t="s">
        <v>277</v>
      </c>
      <c r="B268" s="11" t="s">
        <v>1103</v>
      </c>
      <c r="C268" s="7">
        <f t="shared" si="16"/>
        <v>4</v>
      </c>
      <c r="D268" s="7" t="str">
        <f t="shared" si="17"/>
        <v>Apr</v>
      </c>
      <c r="E268" s="7" t="s">
        <v>1355</v>
      </c>
      <c r="F268" s="7" t="str">
        <f t="shared" si="18"/>
        <v>Bambang H.</v>
      </c>
      <c r="G268" s="7" t="s">
        <v>1361</v>
      </c>
      <c r="H268" s="7" t="s">
        <v>1371</v>
      </c>
      <c r="I268" s="7">
        <v>3</v>
      </c>
      <c r="J268" s="7" t="str">
        <f>INDEX(Master_Produk!$C$2:$C$11,MATCH(H268,Master_Produk!$A$2:$A$11,0))</f>
        <v>Pakaian</v>
      </c>
      <c r="K268" s="8">
        <f>INDEX(Master_Produk!$E$2:$E$11,MATCH(Data_Transaksi!H268,Master_Produk!$A$2:$A$11,0))</f>
        <v>280000</v>
      </c>
      <c r="L268" s="8">
        <f t="shared" si="19"/>
        <v>840000</v>
      </c>
      <c r="M268" s="8">
        <f>INDEX(Master_Target!$B$2:$M$4, MATCH(J268, Master_Target!$A$2:$A$4, 0), MATCH(TEXT(B268, "[$-421]mmmm"), Master_Target!$B$1:$M$1, 0))</f>
        <v>19500000</v>
      </c>
    </row>
    <row r="269" spans="1:13" x14ac:dyDescent="0.25">
      <c r="A269" s="7" t="s">
        <v>278</v>
      </c>
      <c r="B269" s="11" t="s">
        <v>1103</v>
      </c>
      <c r="C269" s="7">
        <f t="shared" si="16"/>
        <v>4</v>
      </c>
      <c r="D269" s="7" t="str">
        <f t="shared" si="17"/>
        <v>Apr</v>
      </c>
      <c r="E269" s="7" t="s">
        <v>1349</v>
      </c>
      <c r="F269" s="7" t="str">
        <f t="shared" si="18"/>
        <v>Dewi Lestari</v>
      </c>
      <c r="G269" s="7" t="s">
        <v>1360</v>
      </c>
      <c r="H269" s="7" t="s">
        <v>1363</v>
      </c>
      <c r="I269" s="7">
        <v>1</v>
      </c>
      <c r="J269" s="7" t="str">
        <f>INDEX(Master_Produk!$C$2:$C$11,MATCH(H269,Master_Produk!$A$2:$A$11,0))</f>
        <v>Pakaian</v>
      </c>
      <c r="K269" s="8">
        <f>INDEX(Master_Produk!$E$2:$E$11,MATCH(Data_Transaksi!H269,Master_Produk!$A$2:$A$11,0))</f>
        <v>250000</v>
      </c>
      <c r="L269" s="8">
        <f t="shared" si="19"/>
        <v>250000</v>
      </c>
      <c r="M269" s="8">
        <f>INDEX(Master_Target!$B$2:$M$4, MATCH(J269, Master_Target!$A$2:$A$4, 0), MATCH(TEXT(B269, "[$-421]mmmm"), Master_Target!$B$1:$M$1, 0))</f>
        <v>19500000</v>
      </c>
    </row>
    <row r="270" spans="1:13" x14ac:dyDescent="0.25">
      <c r="A270" s="7" t="s">
        <v>279</v>
      </c>
      <c r="B270" s="11" t="s">
        <v>1103</v>
      </c>
      <c r="C270" s="7">
        <f t="shared" si="16"/>
        <v>4</v>
      </c>
      <c r="D270" s="7" t="str">
        <f t="shared" si="17"/>
        <v>Apr</v>
      </c>
      <c r="E270" s="7" t="s">
        <v>1354</v>
      </c>
      <c r="F270" s="7" t="str">
        <f t="shared" si="18"/>
        <v>Mega Utami</v>
      </c>
      <c r="G270" s="7" t="s">
        <v>1361</v>
      </c>
      <c r="H270" s="7" t="s">
        <v>1366</v>
      </c>
      <c r="I270" s="7">
        <v>2</v>
      </c>
      <c r="J270" s="7" t="str">
        <f>INDEX(Master_Produk!$C$2:$C$11,MATCH(H270,Master_Produk!$A$2:$A$11,0))</f>
        <v>Elektronik</v>
      </c>
      <c r="K270" s="8">
        <f>INDEX(Master_Produk!$E$2:$E$11,MATCH(Data_Transaksi!H270,Master_Produk!$A$2:$A$11,0))</f>
        <v>7500000</v>
      </c>
      <c r="L270" s="8">
        <f t="shared" si="19"/>
        <v>15000000</v>
      </c>
      <c r="M270" s="8">
        <f>INDEX(Master_Target!$B$2:$M$4, MATCH(J270, Master_Target!$A$2:$A$4, 0), MATCH(TEXT(B270, "[$-421]mmmm"), Master_Target!$B$1:$M$1, 0))</f>
        <v>65000000</v>
      </c>
    </row>
    <row r="271" spans="1:13" x14ac:dyDescent="0.25">
      <c r="A271" s="7" t="s">
        <v>280</v>
      </c>
      <c r="B271" s="11" t="s">
        <v>1103</v>
      </c>
      <c r="C271" s="7">
        <f t="shared" si="16"/>
        <v>4</v>
      </c>
      <c r="D271" s="7" t="str">
        <f t="shared" si="17"/>
        <v>Apr</v>
      </c>
      <c r="E271" s="7" t="s">
        <v>1352</v>
      </c>
      <c r="F271" s="7" t="str">
        <f t="shared" si="18"/>
        <v>Ahmad Fauzi</v>
      </c>
      <c r="G271" s="7" t="s">
        <v>1357</v>
      </c>
      <c r="H271" s="7" t="s">
        <v>1369</v>
      </c>
      <c r="I271" s="7">
        <v>2</v>
      </c>
      <c r="J271" s="7" t="str">
        <f>INDEX(Master_Produk!$C$2:$C$11,MATCH(H271,Master_Produk!$A$2:$A$11,0))</f>
        <v>Elektronik</v>
      </c>
      <c r="K271" s="8">
        <f>INDEX(Master_Produk!$E$2:$E$11,MATCH(Data_Transaksi!H271,Master_Produk!$A$2:$A$11,0))</f>
        <v>4500000</v>
      </c>
      <c r="L271" s="8">
        <f t="shared" si="19"/>
        <v>9000000</v>
      </c>
      <c r="M271" s="8">
        <f>INDEX(Master_Target!$B$2:$M$4, MATCH(J271, Master_Target!$A$2:$A$4, 0), MATCH(TEXT(B271, "[$-421]mmmm"), Master_Target!$B$1:$M$1, 0))</f>
        <v>65000000</v>
      </c>
    </row>
    <row r="272" spans="1:13" x14ac:dyDescent="0.25">
      <c r="A272" s="7" t="s">
        <v>281</v>
      </c>
      <c r="B272" s="11" t="s">
        <v>1104</v>
      </c>
      <c r="C272" s="7">
        <f t="shared" si="16"/>
        <v>4</v>
      </c>
      <c r="D272" s="7" t="str">
        <f t="shared" si="17"/>
        <v>Apr</v>
      </c>
      <c r="E272" s="7" t="s">
        <v>1355</v>
      </c>
      <c r="F272" s="7" t="str">
        <f t="shared" si="18"/>
        <v>Bambang H.</v>
      </c>
      <c r="G272" s="7" t="s">
        <v>1360</v>
      </c>
      <c r="H272" s="7" t="s">
        <v>1362</v>
      </c>
      <c r="I272" s="7">
        <v>2</v>
      </c>
      <c r="J272" s="7" t="str">
        <f>INDEX(Master_Produk!$C$2:$C$11,MATCH(H272,Master_Produk!$A$2:$A$11,0))</f>
        <v>Pakaian</v>
      </c>
      <c r="K272" s="8">
        <f>INDEX(Master_Produk!$E$2:$E$11,MATCH(Data_Transaksi!H272,Master_Produk!$A$2:$A$11,0))</f>
        <v>350000</v>
      </c>
      <c r="L272" s="8">
        <f t="shared" si="19"/>
        <v>700000</v>
      </c>
      <c r="M272" s="8">
        <f>INDEX(Master_Target!$B$2:$M$4, MATCH(J272, Master_Target!$A$2:$A$4, 0), MATCH(TEXT(B272, "[$-421]mmmm"), Master_Target!$B$1:$M$1, 0))</f>
        <v>19500000</v>
      </c>
    </row>
    <row r="273" spans="1:13" x14ac:dyDescent="0.25">
      <c r="A273" s="7" t="s">
        <v>282</v>
      </c>
      <c r="B273" s="11" t="s">
        <v>1104</v>
      </c>
      <c r="C273" s="7">
        <f t="shared" si="16"/>
        <v>4</v>
      </c>
      <c r="D273" s="7" t="str">
        <f t="shared" si="17"/>
        <v>Apr</v>
      </c>
      <c r="E273" s="7" t="s">
        <v>1351</v>
      </c>
      <c r="F273" s="7" t="str">
        <f t="shared" si="18"/>
        <v>Siti Rahma</v>
      </c>
      <c r="G273" s="7" t="s">
        <v>1358</v>
      </c>
      <c r="H273" s="7" t="s">
        <v>1364</v>
      </c>
      <c r="I273" s="7">
        <v>5</v>
      </c>
      <c r="J273" s="7" t="str">
        <f>INDEX(Master_Produk!$C$2:$C$11,MATCH(H273,Master_Produk!$A$2:$A$11,0))</f>
        <v>Furnitur</v>
      </c>
      <c r="K273" s="8">
        <f>INDEX(Master_Produk!$E$2:$E$11,MATCH(Data_Transaksi!H273,Master_Produk!$A$2:$A$11,0))</f>
        <v>950000</v>
      </c>
      <c r="L273" s="8">
        <f t="shared" si="19"/>
        <v>4750000</v>
      </c>
      <c r="M273" s="8">
        <f>INDEX(Master_Target!$B$2:$M$4, MATCH(J273, Master_Target!$A$2:$A$4, 0), MATCH(TEXT(B273, "[$-421]mmmm"), Master_Target!$B$1:$M$1, 0))</f>
        <v>26000000</v>
      </c>
    </row>
    <row r="274" spans="1:13" x14ac:dyDescent="0.25">
      <c r="A274" s="7" t="s">
        <v>283</v>
      </c>
      <c r="B274" s="11" t="s">
        <v>1104</v>
      </c>
      <c r="C274" s="7">
        <f t="shared" si="16"/>
        <v>4</v>
      </c>
      <c r="D274" s="7" t="str">
        <f t="shared" si="17"/>
        <v>Apr</v>
      </c>
      <c r="E274" s="7" t="s">
        <v>1350</v>
      </c>
      <c r="F274" s="7" t="str">
        <f t="shared" si="18"/>
        <v>Andi Wijaya</v>
      </c>
      <c r="G274" s="7" t="s">
        <v>1357</v>
      </c>
      <c r="H274" s="7" t="s">
        <v>1368</v>
      </c>
      <c r="I274" s="7">
        <v>3</v>
      </c>
      <c r="J274" s="7" t="str">
        <f>INDEX(Master_Produk!$C$2:$C$11,MATCH(H274,Master_Produk!$A$2:$A$11,0))</f>
        <v>Furnitur</v>
      </c>
      <c r="K274" s="8">
        <f>INDEX(Master_Produk!$E$2:$E$11,MATCH(Data_Transaksi!H274,Master_Produk!$A$2:$A$11,0))</f>
        <v>650000</v>
      </c>
      <c r="L274" s="8">
        <f t="shared" si="19"/>
        <v>1950000</v>
      </c>
      <c r="M274" s="8">
        <f>INDEX(Master_Target!$B$2:$M$4, MATCH(J274, Master_Target!$A$2:$A$4, 0), MATCH(TEXT(B274, "[$-421]mmmm"), Master_Target!$B$1:$M$1, 0))</f>
        <v>26000000</v>
      </c>
    </row>
    <row r="275" spans="1:13" x14ac:dyDescent="0.25">
      <c r="A275" s="7" t="s">
        <v>284</v>
      </c>
      <c r="B275" s="11" t="s">
        <v>1104</v>
      </c>
      <c r="C275" s="7">
        <f t="shared" si="16"/>
        <v>4</v>
      </c>
      <c r="D275" s="7" t="str">
        <f t="shared" si="17"/>
        <v>Apr</v>
      </c>
      <c r="E275" s="7" t="s">
        <v>1349</v>
      </c>
      <c r="F275" s="7" t="str">
        <f t="shared" si="18"/>
        <v>Dewi Lestari</v>
      </c>
      <c r="G275" s="7" t="s">
        <v>1361</v>
      </c>
      <c r="H275" s="7" t="s">
        <v>1366</v>
      </c>
      <c r="I275" s="7">
        <v>1</v>
      </c>
      <c r="J275" s="7" t="str">
        <f>INDEX(Master_Produk!$C$2:$C$11,MATCH(H275,Master_Produk!$A$2:$A$11,0))</f>
        <v>Elektronik</v>
      </c>
      <c r="K275" s="8">
        <f>INDEX(Master_Produk!$E$2:$E$11,MATCH(Data_Transaksi!H275,Master_Produk!$A$2:$A$11,0))</f>
        <v>7500000</v>
      </c>
      <c r="L275" s="8">
        <f t="shared" si="19"/>
        <v>7500000</v>
      </c>
      <c r="M275" s="8">
        <f>INDEX(Master_Target!$B$2:$M$4, MATCH(J275, Master_Target!$A$2:$A$4, 0), MATCH(TEXT(B275, "[$-421]mmmm"), Master_Target!$B$1:$M$1, 0))</f>
        <v>65000000</v>
      </c>
    </row>
    <row r="276" spans="1:13" x14ac:dyDescent="0.25">
      <c r="A276" s="7" t="s">
        <v>285</v>
      </c>
      <c r="B276" s="11" t="s">
        <v>1105</v>
      </c>
      <c r="C276" s="7">
        <f t="shared" si="16"/>
        <v>4</v>
      </c>
      <c r="D276" s="7" t="str">
        <f t="shared" si="17"/>
        <v>Apr</v>
      </c>
      <c r="E276" s="7" t="s">
        <v>1350</v>
      </c>
      <c r="F276" s="7" t="str">
        <f t="shared" si="18"/>
        <v>Andi Wijaya</v>
      </c>
      <c r="G276" s="7" t="s">
        <v>1360</v>
      </c>
      <c r="H276" s="7" t="s">
        <v>1370</v>
      </c>
      <c r="I276" s="7">
        <v>1</v>
      </c>
      <c r="J276" s="7" t="str">
        <f>INDEX(Master_Produk!$C$2:$C$11,MATCH(H276,Master_Produk!$A$2:$A$11,0))</f>
        <v>Furnitur</v>
      </c>
      <c r="K276" s="8">
        <f>INDEX(Master_Produk!$E$2:$E$11,MATCH(Data_Transaksi!H276,Master_Produk!$A$2:$A$11,0))</f>
        <v>1200000</v>
      </c>
      <c r="L276" s="8">
        <f t="shared" si="19"/>
        <v>1200000</v>
      </c>
      <c r="M276" s="8">
        <f>INDEX(Master_Target!$B$2:$M$4, MATCH(J276, Master_Target!$A$2:$A$4, 0), MATCH(TEXT(B276, "[$-421]mmmm"), Master_Target!$B$1:$M$1, 0))</f>
        <v>26000000</v>
      </c>
    </row>
    <row r="277" spans="1:13" x14ac:dyDescent="0.25">
      <c r="A277" s="7" t="s">
        <v>286</v>
      </c>
      <c r="B277" s="11" t="s">
        <v>1105</v>
      </c>
      <c r="C277" s="7">
        <f t="shared" si="16"/>
        <v>4</v>
      </c>
      <c r="D277" s="7" t="str">
        <f t="shared" si="17"/>
        <v>Apr</v>
      </c>
      <c r="E277" s="7" t="s">
        <v>1348</v>
      </c>
      <c r="F277" s="7" t="str">
        <f t="shared" si="18"/>
        <v>Budi Santoso</v>
      </c>
      <c r="G277" s="7" t="s">
        <v>1357</v>
      </c>
      <c r="H277" s="7" t="s">
        <v>1365</v>
      </c>
      <c r="I277" s="7">
        <v>1</v>
      </c>
      <c r="J277" s="7" t="str">
        <f>INDEX(Master_Produk!$C$2:$C$11,MATCH(H277,Master_Produk!$A$2:$A$11,0))</f>
        <v>Elektronik</v>
      </c>
      <c r="K277" s="8">
        <f>INDEX(Master_Produk!$E$2:$E$11,MATCH(Data_Transaksi!H277,Master_Produk!$A$2:$A$11,0))</f>
        <v>1800000</v>
      </c>
      <c r="L277" s="8">
        <f t="shared" si="19"/>
        <v>1800000</v>
      </c>
      <c r="M277" s="8">
        <f>INDEX(Master_Target!$B$2:$M$4, MATCH(J277, Master_Target!$A$2:$A$4, 0), MATCH(TEXT(B277, "[$-421]mmmm"), Master_Target!$B$1:$M$1, 0))</f>
        <v>65000000</v>
      </c>
    </row>
    <row r="278" spans="1:13" x14ac:dyDescent="0.25">
      <c r="A278" s="7" t="s">
        <v>287</v>
      </c>
      <c r="B278" s="11" t="s">
        <v>1106</v>
      </c>
      <c r="C278" s="7">
        <f t="shared" si="16"/>
        <v>4</v>
      </c>
      <c r="D278" s="7" t="str">
        <f t="shared" si="17"/>
        <v>Apr</v>
      </c>
      <c r="E278" s="7" t="s">
        <v>1353</v>
      </c>
      <c r="F278" s="7" t="str">
        <f t="shared" si="18"/>
        <v>Sari Yuliana</v>
      </c>
      <c r="G278" s="7" t="s">
        <v>1361</v>
      </c>
      <c r="H278" s="7" t="s">
        <v>1370</v>
      </c>
      <c r="I278" s="7">
        <v>2</v>
      </c>
      <c r="J278" s="7" t="str">
        <f>INDEX(Master_Produk!$C$2:$C$11,MATCH(H278,Master_Produk!$A$2:$A$11,0))</f>
        <v>Furnitur</v>
      </c>
      <c r="K278" s="8">
        <f>INDEX(Master_Produk!$E$2:$E$11,MATCH(Data_Transaksi!H278,Master_Produk!$A$2:$A$11,0))</f>
        <v>1200000</v>
      </c>
      <c r="L278" s="8">
        <f t="shared" si="19"/>
        <v>2400000</v>
      </c>
      <c r="M278" s="8">
        <f>INDEX(Master_Target!$B$2:$M$4, MATCH(J278, Master_Target!$A$2:$A$4, 0), MATCH(TEXT(B278, "[$-421]mmmm"), Master_Target!$B$1:$M$1, 0))</f>
        <v>26000000</v>
      </c>
    </row>
    <row r="279" spans="1:13" x14ac:dyDescent="0.25">
      <c r="A279" s="7" t="s">
        <v>288</v>
      </c>
      <c r="B279" s="11" t="s">
        <v>1106</v>
      </c>
      <c r="C279" s="7">
        <f t="shared" si="16"/>
        <v>4</v>
      </c>
      <c r="D279" s="7" t="str">
        <f t="shared" si="17"/>
        <v>Apr</v>
      </c>
      <c r="E279" s="7" t="s">
        <v>1352</v>
      </c>
      <c r="F279" s="7" t="str">
        <f t="shared" si="18"/>
        <v>Ahmad Fauzi</v>
      </c>
      <c r="G279" s="7" t="s">
        <v>1360</v>
      </c>
      <c r="H279" s="7" t="s">
        <v>1366</v>
      </c>
      <c r="I279" s="7">
        <v>1</v>
      </c>
      <c r="J279" s="7" t="str">
        <f>INDEX(Master_Produk!$C$2:$C$11,MATCH(H279,Master_Produk!$A$2:$A$11,0))</f>
        <v>Elektronik</v>
      </c>
      <c r="K279" s="8">
        <f>INDEX(Master_Produk!$E$2:$E$11,MATCH(Data_Transaksi!H279,Master_Produk!$A$2:$A$11,0))</f>
        <v>7500000</v>
      </c>
      <c r="L279" s="8">
        <f t="shared" si="19"/>
        <v>7500000</v>
      </c>
      <c r="M279" s="8">
        <f>INDEX(Master_Target!$B$2:$M$4, MATCH(J279, Master_Target!$A$2:$A$4, 0), MATCH(TEXT(B279, "[$-421]mmmm"), Master_Target!$B$1:$M$1, 0))</f>
        <v>65000000</v>
      </c>
    </row>
    <row r="280" spans="1:13" x14ac:dyDescent="0.25">
      <c r="A280" s="7" t="s">
        <v>289</v>
      </c>
      <c r="B280" s="11" t="s">
        <v>1107</v>
      </c>
      <c r="C280" s="7">
        <f t="shared" si="16"/>
        <v>4</v>
      </c>
      <c r="D280" s="7" t="str">
        <f t="shared" si="17"/>
        <v>Apr</v>
      </c>
      <c r="E280" s="7" t="s">
        <v>1348</v>
      </c>
      <c r="F280" s="7" t="str">
        <f t="shared" si="18"/>
        <v>Budi Santoso</v>
      </c>
      <c r="G280" s="7" t="s">
        <v>1359</v>
      </c>
      <c r="H280" s="7" t="s">
        <v>1365</v>
      </c>
      <c r="I280" s="7">
        <v>2</v>
      </c>
      <c r="J280" s="7" t="str">
        <f>INDEX(Master_Produk!$C$2:$C$11,MATCH(H280,Master_Produk!$A$2:$A$11,0))</f>
        <v>Elektronik</v>
      </c>
      <c r="K280" s="8">
        <f>INDEX(Master_Produk!$E$2:$E$11,MATCH(Data_Transaksi!H280,Master_Produk!$A$2:$A$11,0))</f>
        <v>1800000</v>
      </c>
      <c r="L280" s="8">
        <f t="shared" si="19"/>
        <v>3600000</v>
      </c>
      <c r="M280" s="8">
        <f>INDEX(Master_Target!$B$2:$M$4, MATCH(J280, Master_Target!$A$2:$A$4, 0), MATCH(TEXT(B280, "[$-421]mmmm"), Master_Target!$B$1:$M$1, 0))</f>
        <v>65000000</v>
      </c>
    </row>
    <row r="281" spans="1:13" x14ac:dyDescent="0.25">
      <c r="A281" s="7" t="s">
        <v>290</v>
      </c>
      <c r="B281" s="11" t="s">
        <v>1107</v>
      </c>
      <c r="C281" s="7">
        <f t="shared" si="16"/>
        <v>4</v>
      </c>
      <c r="D281" s="7" t="str">
        <f t="shared" si="17"/>
        <v>Apr</v>
      </c>
      <c r="E281" s="7" t="s">
        <v>1356</v>
      </c>
      <c r="F281" s="7" t="str">
        <f t="shared" si="18"/>
        <v>Eko Prasetyo</v>
      </c>
      <c r="G281" s="7" t="s">
        <v>1358</v>
      </c>
      <c r="H281" s="7" t="s">
        <v>1367</v>
      </c>
      <c r="I281" s="7">
        <v>2</v>
      </c>
      <c r="J281" s="7" t="str">
        <f>INDEX(Master_Produk!$C$2:$C$11,MATCH(H281,Master_Produk!$A$2:$A$11,0))</f>
        <v>Elektronik</v>
      </c>
      <c r="K281" s="8">
        <f>INDEX(Master_Produk!$E$2:$E$11,MATCH(Data_Transaksi!H281,Master_Produk!$A$2:$A$11,0))</f>
        <v>250000</v>
      </c>
      <c r="L281" s="8">
        <f t="shared" si="19"/>
        <v>500000</v>
      </c>
      <c r="M281" s="8">
        <f>INDEX(Master_Target!$B$2:$M$4, MATCH(J281, Master_Target!$A$2:$A$4, 0), MATCH(TEXT(B281, "[$-421]mmmm"), Master_Target!$B$1:$M$1, 0))</f>
        <v>65000000</v>
      </c>
    </row>
    <row r="282" spans="1:13" x14ac:dyDescent="0.25">
      <c r="A282" s="7" t="s">
        <v>291</v>
      </c>
      <c r="B282" s="11" t="s">
        <v>1107</v>
      </c>
      <c r="C282" s="7">
        <f t="shared" si="16"/>
        <v>4</v>
      </c>
      <c r="D282" s="7" t="str">
        <f t="shared" si="17"/>
        <v>Apr</v>
      </c>
      <c r="E282" s="7" t="s">
        <v>1348</v>
      </c>
      <c r="F282" s="7" t="str">
        <f t="shared" si="18"/>
        <v>Budi Santoso</v>
      </c>
      <c r="G282" s="7" t="s">
        <v>1361</v>
      </c>
      <c r="H282" s="7" t="s">
        <v>1370</v>
      </c>
      <c r="I282" s="7">
        <v>1</v>
      </c>
      <c r="J282" s="7" t="str">
        <f>INDEX(Master_Produk!$C$2:$C$11,MATCH(H282,Master_Produk!$A$2:$A$11,0))</f>
        <v>Furnitur</v>
      </c>
      <c r="K282" s="8">
        <f>INDEX(Master_Produk!$E$2:$E$11,MATCH(Data_Transaksi!H282,Master_Produk!$A$2:$A$11,0))</f>
        <v>1200000</v>
      </c>
      <c r="L282" s="8">
        <f t="shared" si="19"/>
        <v>1200000</v>
      </c>
      <c r="M282" s="8">
        <f>INDEX(Master_Target!$B$2:$M$4, MATCH(J282, Master_Target!$A$2:$A$4, 0), MATCH(TEXT(B282, "[$-421]mmmm"), Master_Target!$B$1:$M$1, 0))</f>
        <v>26000000</v>
      </c>
    </row>
    <row r="283" spans="1:13" x14ac:dyDescent="0.25">
      <c r="A283" s="7" t="s">
        <v>292</v>
      </c>
      <c r="B283" s="11" t="s">
        <v>1108</v>
      </c>
      <c r="C283" s="7">
        <f t="shared" si="16"/>
        <v>4</v>
      </c>
      <c r="D283" s="7" t="str">
        <f t="shared" si="17"/>
        <v>Apr</v>
      </c>
      <c r="E283" s="7" t="s">
        <v>1348</v>
      </c>
      <c r="F283" s="7" t="str">
        <f t="shared" si="18"/>
        <v>Budi Santoso</v>
      </c>
      <c r="G283" s="7" t="s">
        <v>1361</v>
      </c>
      <c r="H283" s="7" t="s">
        <v>1363</v>
      </c>
      <c r="I283" s="7">
        <v>3</v>
      </c>
      <c r="J283" s="7" t="str">
        <f>INDEX(Master_Produk!$C$2:$C$11,MATCH(H283,Master_Produk!$A$2:$A$11,0))</f>
        <v>Pakaian</v>
      </c>
      <c r="K283" s="8">
        <f>INDEX(Master_Produk!$E$2:$E$11,MATCH(Data_Transaksi!H283,Master_Produk!$A$2:$A$11,0))</f>
        <v>250000</v>
      </c>
      <c r="L283" s="8">
        <f t="shared" si="19"/>
        <v>750000</v>
      </c>
      <c r="M283" s="8">
        <f>INDEX(Master_Target!$B$2:$M$4, MATCH(J283, Master_Target!$A$2:$A$4, 0), MATCH(TEXT(B283, "[$-421]mmmm"), Master_Target!$B$1:$M$1, 0))</f>
        <v>19500000</v>
      </c>
    </row>
    <row r="284" spans="1:13" x14ac:dyDescent="0.25">
      <c r="A284" s="7" t="s">
        <v>293</v>
      </c>
      <c r="B284" s="11" t="s">
        <v>1108</v>
      </c>
      <c r="C284" s="7">
        <f t="shared" si="16"/>
        <v>4</v>
      </c>
      <c r="D284" s="7" t="str">
        <f t="shared" si="17"/>
        <v>Apr</v>
      </c>
      <c r="E284" s="7" t="s">
        <v>1353</v>
      </c>
      <c r="F284" s="7" t="str">
        <f t="shared" si="18"/>
        <v>Sari Yuliana</v>
      </c>
      <c r="G284" s="7" t="s">
        <v>1359</v>
      </c>
      <c r="H284" s="7" t="s">
        <v>1366</v>
      </c>
      <c r="I284" s="7">
        <v>1</v>
      </c>
      <c r="J284" s="7" t="str">
        <f>INDEX(Master_Produk!$C$2:$C$11,MATCH(H284,Master_Produk!$A$2:$A$11,0))</f>
        <v>Elektronik</v>
      </c>
      <c r="K284" s="8">
        <f>INDEX(Master_Produk!$E$2:$E$11,MATCH(Data_Transaksi!H284,Master_Produk!$A$2:$A$11,0))</f>
        <v>7500000</v>
      </c>
      <c r="L284" s="8">
        <f t="shared" si="19"/>
        <v>7500000</v>
      </c>
      <c r="M284" s="8">
        <f>INDEX(Master_Target!$B$2:$M$4, MATCH(J284, Master_Target!$A$2:$A$4, 0), MATCH(TEXT(B284, "[$-421]mmmm"), Master_Target!$B$1:$M$1, 0))</f>
        <v>65000000</v>
      </c>
    </row>
    <row r="285" spans="1:13" x14ac:dyDescent="0.25">
      <c r="A285" s="7" t="s">
        <v>294</v>
      </c>
      <c r="B285" s="11" t="s">
        <v>1109</v>
      </c>
      <c r="C285" s="7">
        <f t="shared" si="16"/>
        <v>4</v>
      </c>
      <c r="D285" s="7" t="str">
        <f t="shared" si="17"/>
        <v>Apr</v>
      </c>
      <c r="E285" s="7" t="s">
        <v>1355</v>
      </c>
      <c r="F285" s="7" t="str">
        <f t="shared" si="18"/>
        <v>Bambang H.</v>
      </c>
      <c r="G285" s="7" t="s">
        <v>1359</v>
      </c>
      <c r="H285" s="7" t="s">
        <v>1366</v>
      </c>
      <c r="I285" s="7">
        <v>1</v>
      </c>
      <c r="J285" s="7" t="str">
        <f>INDEX(Master_Produk!$C$2:$C$11,MATCH(H285,Master_Produk!$A$2:$A$11,0))</f>
        <v>Elektronik</v>
      </c>
      <c r="K285" s="8">
        <f>INDEX(Master_Produk!$E$2:$E$11,MATCH(Data_Transaksi!H285,Master_Produk!$A$2:$A$11,0))</f>
        <v>7500000</v>
      </c>
      <c r="L285" s="8">
        <f t="shared" si="19"/>
        <v>7500000</v>
      </c>
      <c r="M285" s="8">
        <f>INDEX(Master_Target!$B$2:$M$4, MATCH(J285, Master_Target!$A$2:$A$4, 0), MATCH(TEXT(B285, "[$-421]mmmm"), Master_Target!$B$1:$M$1, 0))</f>
        <v>65000000</v>
      </c>
    </row>
    <row r="286" spans="1:13" x14ac:dyDescent="0.25">
      <c r="A286" s="7" t="s">
        <v>295</v>
      </c>
      <c r="B286" s="11" t="s">
        <v>1109</v>
      </c>
      <c r="C286" s="7">
        <f t="shared" si="16"/>
        <v>4</v>
      </c>
      <c r="D286" s="7" t="str">
        <f t="shared" si="17"/>
        <v>Apr</v>
      </c>
      <c r="E286" s="7" t="s">
        <v>1352</v>
      </c>
      <c r="F286" s="7" t="str">
        <f t="shared" si="18"/>
        <v>Ahmad Fauzi</v>
      </c>
      <c r="G286" s="7" t="s">
        <v>1357</v>
      </c>
      <c r="H286" s="7" t="s">
        <v>1363</v>
      </c>
      <c r="I286" s="7">
        <v>3</v>
      </c>
      <c r="J286" s="7" t="str">
        <f>INDEX(Master_Produk!$C$2:$C$11,MATCH(H286,Master_Produk!$A$2:$A$11,0))</f>
        <v>Pakaian</v>
      </c>
      <c r="K286" s="8">
        <f>INDEX(Master_Produk!$E$2:$E$11,MATCH(Data_Transaksi!H286,Master_Produk!$A$2:$A$11,0))</f>
        <v>250000</v>
      </c>
      <c r="L286" s="8">
        <f t="shared" si="19"/>
        <v>750000</v>
      </c>
      <c r="M286" s="8">
        <f>INDEX(Master_Target!$B$2:$M$4, MATCH(J286, Master_Target!$A$2:$A$4, 0), MATCH(TEXT(B286, "[$-421]mmmm"), Master_Target!$B$1:$M$1, 0))</f>
        <v>19500000</v>
      </c>
    </row>
    <row r="287" spans="1:13" x14ac:dyDescent="0.25">
      <c r="A287" s="7" t="s">
        <v>296</v>
      </c>
      <c r="B287" s="11" t="s">
        <v>1110</v>
      </c>
      <c r="C287" s="7">
        <f t="shared" si="16"/>
        <v>4</v>
      </c>
      <c r="D287" s="7" t="str">
        <f t="shared" si="17"/>
        <v>Apr</v>
      </c>
      <c r="E287" s="7" t="s">
        <v>1352</v>
      </c>
      <c r="F287" s="7" t="str">
        <f t="shared" si="18"/>
        <v>Ahmad Fauzi</v>
      </c>
      <c r="G287" s="7" t="s">
        <v>1358</v>
      </c>
      <c r="H287" s="7" t="s">
        <v>1362</v>
      </c>
      <c r="I287" s="7">
        <v>2</v>
      </c>
      <c r="J287" s="7" t="str">
        <f>INDEX(Master_Produk!$C$2:$C$11,MATCH(H287,Master_Produk!$A$2:$A$11,0))</f>
        <v>Pakaian</v>
      </c>
      <c r="K287" s="8">
        <f>INDEX(Master_Produk!$E$2:$E$11,MATCH(Data_Transaksi!H287,Master_Produk!$A$2:$A$11,0))</f>
        <v>350000</v>
      </c>
      <c r="L287" s="8">
        <f t="shared" si="19"/>
        <v>700000</v>
      </c>
      <c r="M287" s="8">
        <f>INDEX(Master_Target!$B$2:$M$4, MATCH(J287, Master_Target!$A$2:$A$4, 0), MATCH(TEXT(B287, "[$-421]mmmm"), Master_Target!$B$1:$M$1, 0))</f>
        <v>19500000</v>
      </c>
    </row>
    <row r="288" spans="1:13" x14ac:dyDescent="0.25">
      <c r="A288" s="7" t="s">
        <v>297</v>
      </c>
      <c r="B288" s="11" t="s">
        <v>1110</v>
      </c>
      <c r="C288" s="7">
        <f t="shared" si="16"/>
        <v>4</v>
      </c>
      <c r="D288" s="7" t="str">
        <f t="shared" si="17"/>
        <v>Apr</v>
      </c>
      <c r="E288" s="7" t="s">
        <v>1351</v>
      </c>
      <c r="F288" s="7" t="str">
        <f t="shared" si="18"/>
        <v>Siti Rahma</v>
      </c>
      <c r="G288" s="7" t="s">
        <v>1358</v>
      </c>
      <c r="H288" s="7" t="s">
        <v>1362</v>
      </c>
      <c r="I288" s="7">
        <v>2</v>
      </c>
      <c r="J288" s="7" t="str">
        <f>INDEX(Master_Produk!$C$2:$C$11,MATCH(H288,Master_Produk!$A$2:$A$11,0))</f>
        <v>Pakaian</v>
      </c>
      <c r="K288" s="8">
        <f>INDEX(Master_Produk!$E$2:$E$11,MATCH(Data_Transaksi!H288,Master_Produk!$A$2:$A$11,0))</f>
        <v>350000</v>
      </c>
      <c r="L288" s="8">
        <f t="shared" si="19"/>
        <v>700000</v>
      </c>
      <c r="M288" s="8">
        <f>INDEX(Master_Target!$B$2:$M$4, MATCH(J288, Master_Target!$A$2:$A$4, 0), MATCH(TEXT(B288, "[$-421]mmmm"), Master_Target!$B$1:$M$1, 0))</f>
        <v>19500000</v>
      </c>
    </row>
    <row r="289" spans="1:13" x14ac:dyDescent="0.25">
      <c r="A289" s="7" t="s">
        <v>298</v>
      </c>
      <c r="B289" s="11" t="s">
        <v>1111</v>
      </c>
      <c r="C289" s="7">
        <f t="shared" si="16"/>
        <v>4</v>
      </c>
      <c r="D289" s="7" t="str">
        <f t="shared" si="17"/>
        <v>Apr</v>
      </c>
      <c r="E289" s="7" t="s">
        <v>1348</v>
      </c>
      <c r="F289" s="7" t="str">
        <f t="shared" si="18"/>
        <v>Budi Santoso</v>
      </c>
      <c r="G289" s="7" t="s">
        <v>1361</v>
      </c>
      <c r="H289" s="7" t="s">
        <v>1369</v>
      </c>
      <c r="I289" s="7">
        <v>2</v>
      </c>
      <c r="J289" s="7" t="str">
        <f>INDEX(Master_Produk!$C$2:$C$11,MATCH(H289,Master_Produk!$A$2:$A$11,0))</f>
        <v>Elektronik</v>
      </c>
      <c r="K289" s="8">
        <f>INDEX(Master_Produk!$E$2:$E$11,MATCH(Data_Transaksi!H289,Master_Produk!$A$2:$A$11,0))</f>
        <v>4500000</v>
      </c>
      <c r="L289" s="8">
        <f t="shared" si="19"/>
        <v>9000000</v>
      </c>
      <c r="M289" s="8">
        <f>INDEX(Master_Target!$B$2:$M$4, MATCH(J289, Master_Target!$A$2:$A$4, 0), MATCH(TEXT(B289, "[$-421]mmmm"), Master_Target!$B$1:$M$1, 0))</f>
        <v>65000000</v>
      </c>
    </row>
    <row r="290" spans="1:13" x14ac:dyDescent="0.25">
      <c r="A290" s="7" t="s">
        <v>299</v>
      </c>
      <c r="B290" s="11" t="s">
        <v>1111</v>
      </c>
      <c r="C290" s="7">
        <f t="shared" si="16"/>
        <v>4</v>
      </c>
      <c r="D290" s="7" t="str">
        <f t="shared" si="17"/>
        <v>Apr</v>
      </c>
      <c r="E290" s="7" t="s">
        <v>1352</v>
      </c>
      <c r="F290" s="7" t="str">
        <f t="shared" si="18"/>
        <v>Ahmad Fauzi</v>
      </c>
      <c r="G290" s="7" t="s">
        <v>1359</v>
      </c>
      <c r="H290" s="7" t="s">
        <v>1371</v>
      </c>
      <c r="I290" s="7">
        <v>1</v>
      </c>
      <c r="J290" s="7" t="str">
        <f>INDEX(Master_Produk!$C$2:$C$11,MATCH(H290,Master_Produk!$A$2:$A$11,0))</f>
        <v>Pakaian</v>
      </c>
      <c r="K290" s="8">
        <f>INDEX(Master_Produk!$E$2:$E$11,MATCH(Data_Transaksi!H290,Master_Produk!$A$2:$A$11,0))</f>
        <v>280000</v>
      </c>
      <c r="L290" s="8">
        <f t="shared" si="19"/>
        <v>280000</v>
      </c>
      <c r="M290" s="8">
        <f>INDEX(Master_Target!$B$2:$M$4, MATCH(J290, Master_Target!$A$2:$A$4, 0), MATCH(TEXT(B290, "[$-421]mmmm"), Master_Target!$B$1:$M$1, 0))</f>
        <v>19500000</v>
      </c>
    </row>
    <row r="291" spans="1:13" x14ac:dyDescent="0.25">
      <c r="A291" s="7" t="s">
        <v>300</v>
      </c>
      <c r="B291" s="11" t="s">
        <v>1111</v>
      </c>
      <c r="C291" s="7">
        <f t="shared" si="16"/>
        <v>4</v>
      </c>
      <c r="D291" s="7" t="str">
        <f t="shared" si="17"/>
        <v>Apr</v>
      </c>
      <c r="E291" s="7" t="s">
        <v>1347</v>
      </c>
      <c r="F291" s="7" t="str">
        <f t="shared" si="18"/>
        <v>Rina Marlina</v>
      </c>
      <c r="G291" s="7" t="s">
        <v>1358</v>
      </c>
      <c r="H291" s="7" t="s">
        <v>1363</v>
      </c>
      <c r="I291" s="7">
        <v>3</v>
      </c>
      <c r="J291" s="7" t="str">
        <f>INDEX(Master_Produk!$C$2:$C$11,MATCH(H291,Master_Produk!$A$2:$A$11,0))</f>
        <v>Pakaian</v>
      </c>
      <c r="K291" s="8">
        <f>INDEX(Master_Produk!$E$2:$E$11,MATCH(Data_Transaksi!H291,Master_Produk!$A$2:$A$11,0))</f>
        <v>250000</v>
      </c>
      <c r="L291" s="8">
        <f t="shared" si="19"/>
        <v>750000</v>
      </c>
      <c r="M291" s="8">
        <f>INDEX(Master_Target!$B$2:$M$4, MATCH(J291, Master_Target!$A$2:$A$4, 0), MATCH(TEXT(B291, "[$-421]mmmm"), Master_Target!$B$1:$M$1, 0))</f>
        <v>19500000</v>
      </c>
    </row>
    <row r="292" spans="1:13" x14ac:dyDescent="0.25">
      <c r="A292" s="7" t="s">
        <v>301</v>
      </c>
      <c r="B292" s="11" t="s">
        <v>1111</v>
      </c>
      <c r="C292" s="7">
        <f t="shared" si="16"/>
        <v>4</v>
      </c>
      <c r="D292" s="7" t="str">
        <f t="shared" si="17"/>
        <v>Apr</v>
      </c>
      <c r="E292" s="7" t="s">
        <v>1351</v>
      </c>
      <c r="F292" s="7" t="str">
        <f t="shared" si="18"/>
        <v>Siti Rahma</v>
      </c>
      <c r="G292" s="7" t="s">
        <v>1360</v>
      </c>
      <c r="H292" s="7" t="s">
        <v>1367</v>
      </c>
      <c r="I292" s="7">
        <v>3</v>
      </c>
      <c r="J292" s="7" t="str">
        <f>INDEX(Master_Produk!$C$2:$C$11,MATCH(H292,Master_Produk!$A$2:$A$11,0))</f>
        <v>Elektronik</v>
      </c>
      <c r="K292" s="8">
        <f>INDEX(Master_Produk!$E$2:$E$11,MATCH(Data_Transaksi!H292,Master_Produk!$A$2:$A$11,0))</f>
        <v>250000</v>
      </c>
      <c r="L292" s="8">
        <f t="shared" si="19"/>
        <v>750000</v>
      </c>
      <c r="M292" s="8">
        <f>INDEX(Master_Target!$B$2:$M$4, MATCH(J292, Master_Target!$A$2:$A$4, 0), MATCH(TEXT(B292, "[$-421]mmmm"), Master_Target!$B$1:$M$1, 0))</f>
        <v>65000000</v>
      </c>
    </row>
    <row r="293" spans="1:13" x14ac:dyDescent="0.25">
      <c r="A293" s="7" t="s">
        <v>302</v>
      </c>
      <c r="B293" s="11" t="s">
        <v>1111</v>
      </c>
      <c r="C293" s="7">
        <f t="shared" si="16"/>
        <v>4</v>
      </c>
      <c r="D293" s="7" t="str">
        <f t="shared" si="17"/>
        <v>Apr</v>
      </c>
      <c r="E293" s="7" t="s">
        <v>1347</v>
      </c>
      <c r="F293" s="7" t="str">
        <f t="shared" si="18"/>
        <v>Rina Marlina</v>
      </c>
      <c r="G293" s="7" t="s">
        <v>1358</v>
      </c>
      <c r="H293" s="7" t="s">
        <v>1368</v>
      </c>
      <c r="I293" s="7">
        <v>2</v>
      </c>
      <c r="J293" s="7" t="str">
        <f>INDEX(Master_Produk!$C$2:$C$11,MATCH(H293,Master_Produk!$A$2:$A$11,0))</f>
        <v>Furnitur</v>
      </c>
      <c r="K293" s="8">
        <f>INDEX(Master_Produk!$E$2:$E$11,MATCH(Data_Transaksi!H293,Master_Produk!$A$2:$A$11,0))</f>
        <v>650000</v>
      </c>
      <c r="L293" s="8">
        <f t="shared" si="19"/>
        <v>1300000</v>
      </c>
      <c r="M293" s="8">
        <f>INDEX(Master_Target!$B$2:$M$4, MATCH(J293, Master_Target!$A$2:$A$4, 0), MATCH(TEXT(B293, "[$-421]mmmm"), Master_Target!$B$1:$M$1, 0))</f>
        <v>26000000</v>
      </c>
    </row>
    <row r="294" spans="1:13" x14ac:dyDescent="0.25">
      <c r="A294" s="7" t="s">
        <v>303</v>
      </c>
      <c r="B294" s="11" t="s">
        <v>1112</v>
      </c>
      <c r="C294" s="7">
        <f t="shared" si="16"/>
        <v>4</v>
      </c>
      <c r="D294" s="7" t="str">
        <f t="shared" si="17"/>
        <v>Apr</v>
      </c>
      <c r="E294" s="7" t="s">
        <v>1353</v>
      </c>
      <c r="F294" s="7" t="str">
        <f t="shared" si="18"/>
        <v>Sari Yuliana</v>
      </c>
      <c r="G294" s="7" t="s">
        <v>1361</v>
      </c>
      <c r="H294" s="7" t="s">
        <v>1368</v>
      </c>
      <c r="I294" s="7">
        <v>1</v>
      </c>
      <c r="J294" s="7" t="str">
        <f>INDEX(Master_Produk!$C$2:$C$11,MATCH(H294,Master_Produk!$A$2:$A$11,0))</f>
        <v>Furnitur</v>
      </c>
      <c r="K294" s="8">
        <f>INDEX(Master_Produk!$E$2:$E$11,MATCH(Data_Transaksi!H294,Master_Produk!$A$2:$A$11,0))</f>
        <v>650000</v>
      </c>
      <c r="L294" s="8">
        <f t="shared" si="19"/>
        <v>650000</v>
      </c>
      <c r="M294" s="8">
        <f>INDEX(Master_Target!$B$2:$M$4, MATCH(J294, Master_Target!$A$2:$A$4, 0), MATCH(TEXT(B294, "[$-421]mmmm"), Master_Target!$B$1:$M$1, 0))</f>
        <v>26000000</v>
      </c>
    </row>
    <row r="295" spans="1:13" x14ac:dyDescent="0.25">
      <c r="A295" s="7" t="s">
        <v>304</v>
      </c>
      <c r="B295" s="11" t="s">
        <v>1112</v>
      </c>
      <c r="C295" s="7">
        <f t="shared" si="16"/>
        <v>4</v>
      </c>
      <c r="D295" s="7" t="str">
        <f t="shared" si="17"/>
        <v>Apr</v>
      </c>
      <c r="E295" s="7" t="s">
        <v>1347</v>
      </c>
      <c r="F295" s="7" t="str">
        <f t="shared" si="18"/>
        <v>Rina Marlina</v>
      </c>
      <c r="G295" s="7" t="s">
        <v>1358</v>
      </c>
      <c r="H295" s="7" t="s">
        <v>1367</v>
      </c>
      <c r="I295" s="7">
        <v>2</v>
      </c>
      <c r="J295" s="7" t="str">
        <f>INDEX(Master_Produk!$C$2:$C$11,MATCH(H295,Master_Produk!$A$2:$A$11,0))</f>
        <v>Elektronik</v>
      </c>
      <c r="K295" s="8">
        <f>INDEX(Master_Produk!$E$2:$E$11,MATCH(Data_Transaksi!H295,Master_Produk!$A$2:$A$11,0))</f>
        <v>250000</v>
      </c>
      <c r="L295" s="8">
        <f t="shared" si="19"/>
        <v>500000</v>
      </c>
      <c r="M295" s="8">
        <f>INDEX(Master_Target!$B$2:$M$4, MATCH(J295, Master_Target!$A$2:$A$4, 0), MATCH(TEXT(B295, "[$-421]mmmm"), Master_Target!$B$1:$M$1, 0))</f>
        <v>65000000</v>
      </c>
    </row>
    <row r="296" spans="1:13" x14ac:dyDescent="0.25">
      <c r="A296" s="7" t="s">
        <v>305</v>
      </c>
      <c r="B296" s="11" t="s">
        <v>1112</v>
      </c>
      <c r="C296" s="7">
        <f t="shared" si="16"/>
        <v>4</v>
      </c>
      <c r="D296" s="7" t="str">
        <f t="shared" si="17"/>
        <v>Apr</v>
      </c>
      <c r="E296" s="7" t="s">
        <v>1350</v>
      </c>
      <c r="F296" s="7" t="str">
        <f t="shared" si="18"/>
        <v>Andi Wijaya</v>
      </c>
      <c r="G296" s="7" t="s">
        <v>1357</v>
      </c>
      <c r="H296" s="7" t="s">
        <v>1370</v>
      </c>
      <c r="I296" s="7">
        <v>1</v>
      </c>
      <c r="J296" s="7" t="str">
        <f>INDEX(Master_Produk!$C$2:$C$11,MATCH(H296,Master_Produk!$A$2:$A$11,0))</f>
        <v>Furnitur</v>
      </c>
      <c r="K296" s="8">
        <f>INDEX(Master_Produk!$E$2:$E$11,MATCH(Data_Transaksi!H296,Master_Produk!$A$2:$A$11,0))</f>
        <v>1200000</v>
      </c>
      <c r="L296" s="8">
        <f t="shared" si="19"/>
        <v>1200000</v>
      </c>
      <c r="M296" s="8">
        <f>INDEX(Master_Target!$B$2:$M$4, MATCH(J296, Master_Target!$A$2:$A$4, 0), MATCH(TEXT(B296, "[$-421]mmmm"), Master_Target!$B$1:$M$1, 0))</f>
        <v>26000000</v>
      </c>
    </row>
    <row r="297" spans="1:13" x14ac:dyDescent="0.25">
      <c r="A297" s="7" t="s">
        <v>306</v>
      </c>
      <c r="B297" s="11" t="s">
        <v>1112</v>
      </c>
      <c r="C297" s="7">
        <f t="shared" si="16"/>
        <v>4</v>
      </c>
      <c r="D297" s="7" t="str">
        <f t="shared" si="17"/>
        <v>Apr</v>
      </c>
      <c r="E297" s="7" t="s">
        <v>1354</v>
      </c>
      <c r="F297" s="7" t="str">
        <f t="shared" si="18"/>
        <v>Mega Utami</v>
      </c>
      <c r="G297" s="7" t="s">
        <v>1359</v>
      </c>
      <c r="H297" s="7" t="s">
        <v>1368</v>
      </c>
      <c r="I297" s="7">
        <v>1</v>
      </c>
      <c r="J297" s="7" t="str">
        <f>INDEX(Master_Produk!$C$2:$C$11,MATCH(H297,Master_Produk!$A$2:$A$11,0))</f>
        <v>Furnitur</v>
      </c>
      <c r="K297" s="8">
        <f>INDEX(Master_Produk!$E$2:$E$11,MATCH(Data_Transaksi!H297,Master_Produk!$A$2:$A$11,0))</f>
        <v>650000</v>
      </c>
      <c r="L297" s="8">
        <f t="shared" si="19"/>
        <v>650000</v>
      </c>
      <c r="M297" s="8">
        <f>INDEX(Master_Target!$B$2:$M$4, MATCH(J297, Master_Target!$A$2:$A$4, 0), MATCH(TEXT(B297, "[$-421]mmmm"), Master_Target!$B$1:$M$1, 0))</f>
        <v>26000000</v>
      </c>
    </row>
    <row r="298" spans="1:13" x14ac:dyDescent="0.25">
      <c r="A298" s="7" t="s">
        <v>307</v>
      </c>
      <c r="B298" s="11" t="s">
        <v>1113</v>
      </c>
      <c r="C298" s="7">
        <f t="shared" si="16"/>
        <v>4</v>
      </c>
      <c r="D298" s="7" t="str">
        <f t="shared" si="17"/>
        <v>Apr</v>
      </c>
      <c r="E298" s="7" t="s">
        <v>1347</v>
      </c>
      <c r="F298" s="7" t="str">
        <f t="shared" si="18"/>
        <v>Rina Marlina</v>
      </c>
      <c r="G298" s="7" t="s">
        <v>1361</v>
      </c>
      <c r="H298" s="7" t="s">
        <v>1367</v>
      </c>
      <c r="I298" s="7">
        <v>4</v>
      </c>
      <c r="J298" s="7" t="str">
        <f>INDEX(Master_Produk!$C$2:$C$11,MATCH(H298,Master_Produk!$A$2:$A$11,0))</f>
        <v>Elektronik</v>
      </c>
      <c r="K298" s="8">
        <f>INDEX(Master_Produk!$E$2:$E$11,MATCH(Data_Transaksi!H298,Master_Produk!$A$2:$A$11,0))</f>
        <v>250000</v>
      </c>
      <c r="L298" s="8">
        <f t="shared" si="19"/>
        <v>1000000</v>
      </c>
      <c r="M298" s="8">
        <f>INDEX(Master_Target!$B$2:$M$4, MATCH(J298, Master_Target!$A$2:$A$4, 0), MATCH(TEXT(B298, "[$-421]mmmm"), Master_Target!$B$1:$M$1, 0))</f>
        <v>65000000</v>
      </c>
    </row>
    <row r="299" spans="1:13" x14ac:dyDescent="0.25">
      <c r="A299" s="7" t="s">
        <v>308</v>
      </c>
      <c r="B299" s="11" t="s">
        <v>1113</v>
      </c>
      <c r="C299" s="7">
        <f t="shared" si="16"/>
        <v>4</v>
      </c>
      <c r="D299" s="7" t="str">
        <f t="shared" si="17"/>
        <v>Apr</v>
      </c>
      <c r="E299" s="7" t="s">
        <v>1353</v>
      </c>
      <c r="F299" s="7" t="str">
        <f t="shared" si="18"/>
        <v>Sari Yuliana</v>
      </c>
      <c r="G299" s="7" t="s">
        <v>1361</v>
      </c>
      <c r="H299" s="7" t="s">
        <v>1363</v>
      </c>
      <c r="I299" s="7">
        <v>1</v>
      </c>
      <c r="J299" s="7" t="str">
        <f>INDEX(Master_Produk!$C$2:$C$11,MATCH(H299,Master_Produk!$A$2:$A$11,0))</f>
        <v>Pakaian</v>
      </c>
      <c r="K299" s="8">
        <f>INDEX(Master_Produk!$E$2:$E$11,MATCH(Data_Transaksi!H299,Master_Produk!$A$2:$A$11,0))</f>
        <v>250000</v>
      </c>
      <c r="L299" s="8">
        <f t="shared" si="19"/>
        <v>250000</v>
      </c>
      <c r="M299" s="8">
        <f>INDEX(Master_Target!$B$2:$M$4, MATCH(J299, Master_Target!$A$2:$A$4, 0), MATCH(TEXT(B299, "[$-421]mmmm"), Master_Target!$B$1:$M$1, 0))</f>
        <v>19500000</v>
      </c>
    </row>
    <row r="300" spans="1:13" x14ac:dyDescent="0.25">
      <c r="A300" s="7" t="s">
        <v>309</v>
      </c>
      <c r="B300" s="11" t="s">
        <v>1113</v>
      </c>
      <c r="C300" s="7">
        <f t="shared" si="16"/>
        <v>4</v>
      </c>
      <c r="D300" s="7" t="str">
        <f t="shared" si="17"/>
        <v>Apr</v>
      </c>
      <c r="E300" s="7" t="s">
        <v>1350</v>
      </c>
      <c r="F300" s="7" t="str">
        <f t="shared" si="18"/>
        <v>Andi Wijaya</v>
      </c>
      <c r="G300" s="7" t="s">
        <v>1359</v>
      </c>
      <c r="H300" s="7" t="s">
        <v>1364</v>
      </c>
      <c r="I300" s="7">
        <v>5</v>
      </c>
      <c r="J300" s="7" t="str">
        <f>INDEX(Master_Produk!$C$2:$C$11,MATCH(H300,Master_Produk!$A$2:$A$11,0))</f>
        <v>Furnitur</v>
      </c>
      <c r="K300" s="8">
        <f>INDEX(Master_Produk!$E$2:$E$11,MATCH(Data_Transaksi!H300,Master_Produk!$A$2:$A$11,0))</f>
        <v>950000</v>
      </c>
      <c r="L300" s="8">
        <f t="shared" si="19"/>
        <v>4750000</v>
      </c>
      <c r="M300" s="8">
        <f>INDEX(Master_Target!$B$2:$M$4, MATCH(J300, Master_Target!$A$2:$A$4, 0), MATCH(TEXT(B300, "[$-421]mmmm"), Master_Target!$B$1:$M$1, 0))</f>
        <v>26000000</v>
      </c>
    </row>
    <row r="301" spans="1:13" x14ac:dyDescent="0.25">
      <c r="A301" s="7" t="s">
        <v>310</v>
      </c>
      <c r="B301" s="11" t="s">
        <v>1113</v>
      </c>
      <c r="C301" s="7">
        <f t="shared" si="16"/>
        <v>4</v>
      </c>
      <c r="D301" s="7" t="str">
        <f t="shared" si="17"/>
        <v>Apr</v>
      </c>
      <c r="E301" s="7" t="s">
        <v>1353</v>
      </c>
      <c r="F301" s="7" t="str">
        <f t="shared" si="18"/>
        <v>Sari Yuliana</v>
      </c>
      <c r="G301" s="7" t="s">
        <v>1359</v>
      </c>
      <c r="H301" s="7" t="s">
        <v>1369</v>
      </c>
      <c r="I301" s="7">
        <v>2</v>
      </c>
      <c r="J301" s="7" t="str">
        <f>INDEX(Master_Produk!$C$2:$C$11,MATCH(H301,Master_Produk!$A$2:$A$11,0))</f>
        <v>Elektronik</v>
      </c>
      <c r="K301" s="8">
        <f>INDEX(Master_Produk!$E$2:$E$11,MATCH(Data_Transaksi!H301,Master_Produk!$A$2:$A$11,0))</f>
        <v>4500000</v>
      </c>
      <c r="L301" s="8">
        <f t="shared" si="19"/>
        <v>9000000</v>
      </c>
      <c r="M301" s="8">
        <f>INDEX(Master_Target!$B$2:$M$4, MATCH(J301, Master_Target!$A$2:$A$4, 0), MATCH(TEXT(B301, "[$-421]mmmm"), Master_Target!$B$1:$M$1, 0))</f>
        <v>65000000</v>
      </c>
    </row>
    <row r="302" spans="1:13" x14ac:dyDescent="0.25">
      <c r="A302" s="7" t="s">
        <v>311</v>
      </c>
      <c r="B302" s="11" t="s">
        <v>1113</v>
      </c>
      <c r="C302" s="7">
        <f t="shared" si="16"/>
        <v>4</v>
      </c>
      <c r="D302" s="7" t="str">
        <f t="shared" si="17"/>
        <v>Apr</v>
      </c>
      <c r="E302" s="7" t="s">
        <v>1353</v>
      </c>
      <c r="F302" s="7" t="str">
        <f t="shared" si="18"/>
        <v>Sari Yuliana</v>
      </c>
      <c r="G302" s="7" t="s">
        <v>1359</v>
      </c>
      <c r="H302" s="7" t="s">
        <v>1371</v>
      </c>
      <c r="I302" s="7">
        <v>1</v>
      </c>
      <c r="J302" s="7" t="str">
        <f>INDEX(Master_Produk!$C$2:$C$11,MATCH(H302,Master_Produk!$A$2:$A$11,0))</f>
        <v>Pakaian</v>
      </c>
      <c r="K302" s="8">
        <f>INDEX(Master_Produk!$E$2:$E$11,MATCH(Data_Transaksi!H302,Master_Produk!$A$2:$A$11,0))</f>
        <v>280000</v>
      </c>
      <c r="L302" s="8">
        <f t="shared" si="19"/>
        <v>280000</v>
      </c>
      <c r="M302" s="8">
        <f>INDEX(Master_Target!$B$2:$M$4, MATCH(J302, Master_Target!$A$2:$A$4, 0), MATCH(TEXT(B302, "[$-421]mmmm"), Master_Target!$B$1:$M$1, 0))</f>
        <v>19500000</v>
      </c>
    </row>
    <row r="303" spans="1:13" x14ac:dyDescent="0.25">
      <c r="A303" s="7" t="s">
        <v>312</v>
      </c>
      <c r="B303" s="11" t="s">
        <v>1113</v>
      </c>
      <c r="C303" s="7">
        <f t="shared" si="16"/>
        <v>4</v>
      </c>
      <c r="D303" s="7" t="str">
        <f t="shared" si="17"/>
        <v>Apr</v>
      </c>
      <c r="E303" s="7" t="s">
        <v>1348</v>
      </c>
      <c r="F303" s="7" t="str">
        <f t="shared" si="18"/>
        <v>Budi Santoso</v>
      </c>
      <c r="G303" s="7" t="s">
        <v>1361</v>
      </c>
      <c r="H303" s="7" t="s">
        <v>1370</v>
      </c>
      <c r="I303" s="7">
        <v>2</v>
      </c>
      <c r="J303" s="7" t="str">
        <f>INDEX(Master_Produk!$C$2:$C$11,MATCH(H303,Master_Produk!$A$2:$A$11,0))</f>
        <v>Furnitur</v>
      </c>
      <c r="K303" s="8">
        <f>INDEX(Master_Produk!$E$2:$E$11,MATCH(Data_Transaksi!H303,Master_Produk!$A$2:$A$11,0))</f>
        <v>1200000</v>
      </c>
      <c r="L303" s="8">
        <f t="shared" si="19"/>
        <v>2400000</v>
      </c>
      <c r="M303" s="8">
        <f>INDEX(Master_Target!$B$2:$M$4, MATCH(J303, Master_Target!$A$2:$A$4, 0), MATCH(TEXT(B303, "[$-421]mmmm"), Master_Target!$B$1:$M$1, 0))</f>
        <v>26000000</v>
      </c>
    </row>
    <row r="304" spans="1:13" x14ac:dyDescent="0.25">
      <c r="A304" s="7" t="s">
        <v>313</v>
      </c>
      <c r="B304" s="11" t="s">
        <v>1113</v>
      </c>
      <c r="C304" s="7">
        <f t="shared" si="16"/>
        <v>4</v>
      </c>
      <c r="D304" s="7" t="str">
        <f t="shared" si="17"/>
        <v>Apr</v>
      </c>
      <c r="E304" s="7" t="s">
        <v>1353</v>
      </c>
      <c r="F304" s="7" t="str">
        <f t="shared" si="18"/>
        <v>Sari Yuliana</v>
      </c>
      <c r="G304" s="7" t="s">
        <v>1359</v>
      </c>
      <c r="H304" s="7" t="s">
        <v>1367</v>
      </c>
      <c r="I304" s="7">
        <v>4</v>
      </c>
      <c r="J304" s="7" t="str">
        <f>INDEX(Master_Produk!$C$2:$C$11,MATCH(H304,Master_Produk!$A$2:$A$11,0))</f>
        <v>Elektronik</v>
      </c>
      <c r="K304" s="8">
        <f>INDEX(Master_Produk!$E$2:$E$11,MATCH(Data_Transaksi!H304,Master_Produk!$A$2:$A$11,0))</f>
        <v>250000</v>
      </c>
      <c r="L304" s="8">
        <f t="shared" si="19"/>
        <v>1000000</v>
      </c>
      <c r="M304" s="8">
        <f>INDEX(Master_Target!$B$2:$M$4, MATCH(J304, Master_Target!$A$2:$A$4, 0), MATCH(TEXT(B304, "[$-421]mmmm"), Master_Target!$B$1:$M$1, 0))</f>
        <v>65000000</v>
      </c>
    </row>
    <row r="305" spans="1:13" x14ac:dyDescent="0.25">
      <c r="A305" s="7" t="s">
        <v>314</v>
      </c>
      <c r="B305" s="11" t="s">
        <v>1114</v>
      </c>
      <c r="C305" s="7">
        <f t="shared" si="16"/>
        <v>4</v>
      </c>
      <c r="D305" s="7" t="str">
        <f t="shared" si="17"/>
        <v>Apr</v>
      </c>
      <c r="E305" s="7" t="s">
        <v>1347</v>
      </c>
      <c r="F305" s="7" t="str">
        <f t="shared" si="18"/>
        <v>Rina Marlina</v>
      </c>
      <c r="G305" s="7" t="s">
        <v>1359</v>
      </c>
      <c r="H305" s="7" t="s">
        <v>1363</v>
      </c>
      <c r="I305" s="7">
        <v>3</v>
      </c>
      <c r="J305" s="7" t="str">
        <f>INDEX(Master_Produk!$C$2:$C$11,MATCH(H305,Master_Produk!$A$2:$A$11,0))</f>
        <v>Pakaian</v>
      </c>
      <c r="K305" s="8">
        <f>INDEX(Master_Produk!$E$2:$E$11,MATCH(Data_Transaksi!H305,Master_Produk!$A$2:$A$11,0))</f>
        <v>250000</v>
      </c>
      <c r="L305" s="8">
        <f t="shared" si="19"/>
        <v>750000</v>
      </c>
      <c r="M305" s="8">
        <f>INDEX(Master_Target!$B$2:$M$4, MATCH(J305, Master_Target!$A$2:$A$4, 0), MATCH(TEXT(B305, "[$-421]mmmm"), Master_Target!$B$1:$M$1, 0))</f>
        <v>19500000</v>
      </c>
    </row>
    <row r="306" spans="1:13" x14ac:dyDescent="0.25">
      <c r="A306" s="7" t="s">
        <v>315</v>
      </c>
      <c r="B306" s="11" t="s">
        <v>1114</v>
      </c>
      <c r="C306" s="7">
        <f t="shared" si="16"/>
        <v>4</v>
      </c>
      <c r="D306" s="7" t="str">
        <f t="shared" si="17"/>
        <v>Apr</v>
      </c>
      <c r="E306" s="7" t="s">
        <v>1354</v>
      </c>
      <c r="F306" s="7" t="str">
        <f t="shared" si="18"/>
        <v>Mega Utami</v>
      </c>
      <c r="G306" s="7" t="s">
        <v>1361</v>
      </c>
      <c r="H306" s="7" t="s">
        <v>1370</v>
      </c>
      <c r="I306" s="7">
        <v>3</v>
      </c>
      <c r="J306" s="7" t="str">
        <f>INDEX(Master_Produk!$C$2:$C$11,MATCH(H306,Master_Produk!$A$2:$A$11,0))</f>
        <v>Furnitur</v>
      </c>
      <c r="K306" s="8">
        <f>INDEX(Master_Produk!$E$2:$E$11,MATCH(Data_Transaksi!H306,Master_Produk!$A$2:$A$11,0))</f>
        <v>1200000</v>
      </c>
      <c r="L306" s="8">
        <f t="shared" si="19"/>
        <v>3600000</v>
      </c>
      <c r="M306" s="8">
        <f>INDEX(Master_Target!$B$2:$M$4, MATCH(J306, Master_Target!$A$2:$A$4, 0), MATCH(TEXT(B306, "[$-421]mmmm"), Master_Target!$B$1:$M$1, 0))</f>
        <v>26000000</v>
      </c>
    </row>
    <row r="307" spans="1:13" x14ac:dyDescent="0.25">
      <c r="A307" s="7" t="s">
        <v>316</v>
      </c>
      <c r="B307" s="11" t="s">
        <v>1115</v>
      </c>
      <c r="C307" s="7">
        <f t="shared" si="16"/>
        <v>4</v>
      </c>
      <c r="D307" s="7" t="str">
        <f t="shared" si="17"/>
        <v>Apr</v>
      </c>
      <c r="E307" s="7" t="s">
        <v>1353</v>
      </c>
      <c r="F307" s="7" t="str">
        <f t="shared" si="18"/>
        <v>Sari Yuliana</v>
      </c>
      <c r="G307" s="7" t="s">
        <v>1361</v>
      </c>
      <c r="H307" s="7" t="s">
        <v>1366</v>
      </c>
      <c r="I307" s="7">
        <v>2</v>
      </c>
      <c r="J307" s="7" t="str">
        <f>INDEX(Master_Produk!$C$2:$C$11,MATCH(H307,Master_Produk!$A$2:$A$11,0))</f>
        <v>Elektronik</v>
      </c>
      <c r="K307" s="8">
        <f>INDEX(Master_Produk!$E$2:$E$11,MATCH(Data_Transaksi!H307,Master_Produk!$A$2:$A$11,0))</f>
        <v>7500000</v>
      </c>
      <c r="L307" s="8">
        <f t="shared" si="19"/>
        <v>15000000</v>
      </c>
      <c r="M307" s="8">
        <f>INDEX(Master_Target!$B$2:$M$4, MATCH(J307, Master_Target!$A$2:$A$4, 0), MATCH(TEXT(B307, "[$-421]mmmm"), Master_Target!$B$1:$M$1, 0))</f>
        <v>65000000</v>
      </c>
    </row>
    <row r="308" spans="1:13" x14ac:dyDescent="0.25">
      <c r="A308" s="7" t="s">
        <v>317</v>
      </c>
      <c r="B308" s="11" t="s">
        <v>1116</v>
      </c>
      <c r="C308" s="7">
        <f t="shared" si="16"/>
        <v>4</v>
      </c>
      <c r="D308" s="7" t="str">
        <f t="shared" si="17"/>
        <v>Apr</v>
      </c>
      <c r="E308" s="7" t="s">
        <v>1353</v>
      </c>
      <c r="F308" s="7" t="str">
        <f t="shared" si="18"/>
        <v>Sari Yuliana</v>
      </c>
      <c r="G308" s="7" t="s">
        <v>1357</v>
      </c>
      <c r="H308" s="7" t="s">
        <v>1371</v>
      </c>
      <c r="I308" s="7">
        <v>2</v>
      </c>
      <c r="J308" s="7" t="str">
        <f>INDEX(Master_Produk!$C$2:$C$11,MATCH(H308,Master_Produk!$A$2:$A$11,0))</f>
        <v>Pakaian</v>
      </c>
      <c r="K308" s="8">
        <f>INDEX(Master_Produk!$E$2:$E$11,MATCH(Data_Transaksi!H308,Master_Produk!$A$2:$A$11,0))</f>
        <v>280000</v>
      </c>
      <c r="L308" s="8">
        <f t="shared" si="19"/>
        <v>560000</v>
      </c>
      <c r="M308" s="8">
        <f>INDEX(Master_Target!$B$2:$M$4, MATCH(J308, Master_Target!$A$2:$A$4, 0), MATCH(TEXT(B308, "[$-421]mmmm"), Master_Target!$B$1:$M$1, 0))</f>
        <v>19500000</v>
      </c>
    </row>
    <row r="309" spans="1:13" x14ac:dyDescent="0.25">
      <c r="A309" s="7" t="s">
        <v>318</v>
      </c>
      <c r="B309" s="11" t="s">
        <v>1116</v>
      </c>
      <c r="C309" s="7">
        <f t="shared" si="16"/>
        <v>4</v>
      </c>
      <c r="D309" s="7" t="str">
        <f t="shared" si="17"/>
        <v>Apr</v>
      </c>
      <c r="E309" s="7" t="s">
        <v>1352</v>
      </c>
      <c r="F309" s="7" t="str">
        <f t="shared" si="18"/>
        <v>Ahmad Fauzi</v>
      </c>
      <c r="G309" s="7" t="s">
        <v>1358</v>
      </c>
      <c r="H309" s="7" t="s">
        <v>1363</v>
      </c>
      <c r="I309" s="7">
        <v>3</v>
      </c>
      <c r="J309" s="7" t="str">
        <f>INDEX(Master_Produk!$C$2:$C$11,MATCH(H309,Master_Produk!$A$2:$A$11,0))</f>
        <v>Pakaian</v>
      </c>
      <c r="K309" s="8">
        <f>INDEX(Master_Produk!$E$2:$E$11,MATCH(Data_Transaksi!H309,Master_Produk!$A$2:$A$11,0))</f>
        <v>250000</v>
      </c>
      <c r="L309" s="8">
        <f t="shared" si="19"/>
        <v>750000</v>
      </c>
      <c r="M309" s="8">
        <f>INDEX(Master_Target!$B$2:$M$4, MATCH(J309, Master_Target!$A$2:$A$4, 0), MATCH(TEXT(B309, "[$-421]mmmm"), Master_Target!$B$1:$M$1, 0))</f>
        <v>19500000</v>
      </c>
    </row>
    <row r="310" spans="1:13" x14ac:dyDescent="0.25">
      <c r="A310" s="7" t="s">
        <v>319</v>
      </c>
      <c r="B310" s="11" t="s">
        <v>1116</v>
      </c>
      <c r="C310" s="7">
        <f t="shared" si="16"/>
        <v>4</v>
      </c>
      <c r="D310" s="7" t="str">
        <f t="shared" si="17"/>
        <v>Apr</v>
      </c>
      <c r="E310" s="7" t="s">
        <v>1356</v>
      </c>
      <c r="F310" s="7" t="str">
        <f t="shared" si="18"/>
        <v>Eko Prasetyo</v>
      </c>
      <c r="G310" s="7" t="s">
        <v>1360</v>
      </c>
      <c r="H310" s="7" t="s">
        <v>1362</v>
      </c>
      <c r="I310" s="7">
        <v>1</v>
      </c>
      <c r="J310" s="7" t="str">
        <f>INDEX(Master_Produk!$C$2:$C$11,MATCH(H310,Master_Produk!$A$2:$A$11,0))</f>
        <v>Pakaian</v>
      </c>
      <c r="K310" s="8">
        <f>INDEX(Master_Produk!$E$2:$E$11,MATCH(Data_Transaksi!H310,Master_Produk!$A$2:$A$11,0))</f>
        <v>350000</v>
      </c>
      <c r="L310" s="8">
        <f t="shared" si="19"/>
        <v>350000</v>
      </c>
      <c r="M310" s="8">
        <f>INDEX(Master_Target!$B$2:$M$4, MATCH(J310, Master_Target!$A$2:$A$4, 0), MATCH(TEXT(B310, "[$-421]mmmm"), Master_Target!$B$1:$M$1, 0))</f>
        <v>19500000</v>
      </c>
    </row>
    <row r="311" spans="1:13" x14ac:dyDescent="0.25">
      <c r="A311" s="7" t="s">
        <v>320</v>
      </c>
      <c r="B311" s="11" t="s">
        <v>1117</v>
      </c>
      <c r="C311" s="7">
        <f t="shared" si="16"/>
        <v>4</v>
      </c>
      <c r="D311" s="7" t="str">
        <f t="shared" si="17"/>
        <v>Apr</v>
      </c>
      <c r="E311" s="7" t="s">
        <v>1349</v>
      </c>
      <c r="F311" s="7" t="str">
        <f t="shared" si="18"/>
        <v>Dewi Lestari</v>
      </c>
      <c r="G311" s="7" t="s">
        <v>1361</v>
      </c>
      <c r="H311" s="7" t="s">
        <v>1364</v>
      </c>
      <c r="I311" s="7">
        <v>2</v>
      </c>
      <c r="J311" s="7" t="str">
        <f>INDEX(Master_Produk!$C$2:$C$11,MATCH(H311,Master_Produk!$A$2:$A$11,0))</f>
        <v>Furnitur</v>
      </c>
      <c r="K311" s="8">
        <f>INDEX(Master_Produk!$E$2:$E$11,MATCH(Data_Transaksi!H311,Master_Produk!$A$2:$A$11,0))</f>
        <v>950000</v>
      </c>
      <c r="L311" s="8">
        <f t="shared" si="19"/>
        <v>1900000</v>
      </c>
      <c r="M311" s="8">
        <f>INDEX(Master_Target!$B$2:$M$4, MATCH(J311, Master_Target!$A$2:$A$4, 0), MATCH(TEXT(B311, "[$-421]mmmm"), Master_Target!$B$1:$M$1, 0))</f>
        <v>26000000</v>
      </c>
    </row>
    <row r="312" spans="1:13" x14ac:dyDescent="0.25">
      <c r="A312" s="7" t="s">
        <v>321</v>
      </c>
      <c r="B312" s="11" t="s">
        <v>1117</v>
      </c>
      <c r="C312" s="7">
        <f t="shared" si="16"/>
        <v>4</v>
      </c>
      <c r="D312" s="7" t="str">
        <f t="shared" si="17"/>
        <v>Apr</v>
      </c>
      <c r="E312" s="7" t="s">
        <v>1350</v>
      </c>
      <c r="F312" s="7" t="str">
        <f t="shared" si="18"/>
        <v>Andi Wijaya</v>
      </c>
      <c r="G312" s="7" t="s">
        <v>1360</v>
      </c>
      <c r="H312" s="7" t="s">
        <v>1370</v>
      </c>
      <c r="I312" s="7">
        <v>1</v>
      </c>
      <c r="J312" s="7" t="str">
        <f>INDEX(Master_Produk!$C$2:$C$11,MATCH(H312,Master_Produk!$A$2:$A$11,0))</f>
        <v>Furnitur</v>
      </c>
      <c r="K312" s="8">
        <f>INDEX(Master_Produk!$E$2:$E$11,MATCH(Data_Transaksi!H312,Master_Produk!$A$2:$A$11,0))</f>
        <v>1200000</v>
      </c>
      <c r="L312" s="8">
        <f t="shared" si="19"/>
        <v>1200000</v>
      </c>
      <c r="M312" s="8">
        <f>INDEX(Master_Target!$B$2:$M$4, MATCH(J312, Master_Target!$A$2:$A$4, 0), MATCH(TEXT(B312, "[$-421]mmmm"), Master_Target!$B$1:$M$1, 0))</f>
        <v>26000000</v>
      </c>
    </row>
    <row r="313" spans="1:13" x14ac:dyDescent="0.25">
      <c r="A313" s="7" t="s">
        <v>322</v>
      </c>
      <c r="B313" s="11" t="s">
        <v>1118</v>
      </c>
      <c r="C313" s="7">
        <f t="shared" si="16"/>
        <v>4</v>
      </c>
      <c r="D313" s="7" t="str">
        <f t="shared" si="17"/>
        <v>Apr</v>
      </c>
      <c r="E313" s="7" t="s">
        <v>1356</v>
      </c>
      <c r="F313" s="7" t="str">
        <f t="shared" si="18"/>
        <v>Eko Prasetyo</v>
      </c>
      <c r="G313" s="7" t="s">
        <v>1357</v>
      </c>
      <c r="H313" s="7" t="s">
        <v>1362</v>
      </c>
      <c r="I313" s="7">
        <v>10</v>
      </c>
      <c r="J313" s="7" t="str">
        <f>INDEX(Master_Produk!$C$2:$C$11,MATCH(H313,Master_Produk!$A$2:$A$11,0))</f>
        <v>Pakaian</v>
      </c>
      <c r="K313" s="8">
        <f>INDEX(Master_Produk!$E$2:$E$11,MATCH(Data_Transaksi!H313,Master_Produk!$A$2:$A$11,0))</f>
        <v>350000</v>
      </c>
      <c r="L313" s="8">
        <f t="shared" si="19"/>
        <v>3500000</v>
      </c>
      <c r="M313" s="8">
        <f>INDEX(Master_Target!$B$2:$M$4, MATCH(J313, Master_Target!$A$2:$A$4, 0), MATCH(TEXT(B313, "[$-421]mmmm"), Master_Target!$B$1:$M$1, 0))</f>
        <v>19500000</v>
      </c>
    </row>
    <row r="314" spans="1:13" x14ac:dyDescent="0.25">
      <c r="A314" s="7" t="s">
        <v>323</v>
      </c>
      <c r="B314" s="11" t="s">
        <v>1118</v>
      </c>
      <c r="C314" s="7">
        <f t="shared" si="16"/>
        <v>4</v>
      </c>
      <c r="D314" s="7" t="str">
        <f t="shared" si="17"/>
        <v>Apr</v>
      </c>
      <c r="E314" s="7" t="s">
        <v>1350</v>
      </c>
      <c r="F314" s="7" t="str">
        <f t="shared" si="18"/>
        <v>Andi Wijaya</v>
      </c>
      <c r="G314" s="7" t="s">
        <v>1358</v>
      </c>
      <c r="H314" s="7" t="s">
        <v>1365</v>
      </c>
      <c r="I314" s="7">
        <v>5</v>
      </c>
      <c r="J314" s="7" t="str">
        <f>INDEX(Master_Produk!$C$2:$C$11,MATCH(H314,Master_Produk!$A$2:$A$11,0))</f>
        <v>Elektronik</v>
      </c>
      <c r="K314" s="8">
        <f>INDEX(Master_Produk!$E$2:$E$11,MATCH(Data_Transaksi!H314,Master_Produk!$A$2:$A$11,0))</f>
        <v>1800000</v>
      </c>
      <c r="L314" s="8">
        <f t="shared" si="19"/>
        <v>9000000</v>
      </c>
      <c r="M314" s="8">
        <f>INDEX(Master_Target!$B$2:$M$4, MATCH(J314, Master_Target!$A$2:$A$4, 0), MATCH(TEXT(B314, "[$-421]mmmm"), Master_Target!$B$1:$M$1, 0))</f>
        <v>65000000</v>
      </c>
    </row>
    <row r="315" spans="1:13" x14ac:dyDescent="0.25">
      <c r="A315" s="7" t="s">
        <v>324</v>
      </c>
      <c r="B315" s="11" t="s">
        <v>1118</v>
      </c>
      <c r="C315" s="7">
        <f t="shared" si="16"/>
        <v>4</v>
      </c>
      <c r="D315" s="7" t="str">
        <f t="shared" si="17"/>
        <v>Apr</v>
      </c>
      <c r="E315" s="7" t="s">
        <v>1349</v>
      </c>
      <c r="F315" s="7" t="str">
        <f t="shared" si="18"/>
        <v>Dewi Lestari</v>
      </c>
      <c r="G315" s="7" t="s">
        <v>1358</v>
      </c>
      <c r="H315" s="7" t="s">
        <v>1365</v>
      </c>
      <c r="I315" s="7">
        <v>1</v>
      </c>
      <c r="J315" s="7" t="str">
        <f>INDEX(Master_Produk!$C$2:$C$11,MATCH(H315,Master_Produk!$A$2:$A$11,0))</f>
        <v>Elektronik</v>
      </c>
      <c r="K315" s="8">
        <f>INDEX(Master_Produk!$E$2:$E$11,MATCH(Data_Transaksi!H315,Master_Produk!$A$2:$A$11,0))</f>
        <v>1800000</v>
      </c>
      <c r="L315" s="8">
        <f t="shared" si="19"/>
        <v>1800000</v>
      </c>
      <c r="M315" s="8">
        <f>INDEX(Master_Target!$B$2:$M$4, MATCH(J315, Master_Target!$A$2:$A$4, 0), MATCH(TEXT(B315, "[$-421]mmmm"), Master_Target!$B$1:$M$1, 0))</f>
        <v>65000000</v>
      </c>
    </row>
    <row r="316" spans="1:13" x14ac:dyDescent="0.25">
      <c r="A316" s="7" t="s">
        <v>325</v>
      </c>
      <c r="B316" s="11" t="s">
        <v>1118</v>
      </c>
      <c r="C316" s="7">
        <f t="shared" si="16"/>
        <v>4</v>
      </c>
      <c r="D316" s="7" t="str">
        <f t="shared" si="17"/>
        <v>Apr</v>
      </c>
      <c r="E316" s="7" t="s">
        <v>1354</v>
      </c>
      <c r="F316" s="7" t="str">
        <f t="shared" si="18"/>
        <v>Mega Utami</v>
      </c>
      <c r="G316" s="7" t="s">
        <v>1358</v>
      </c>
      <c r="H316" s="7" t="s">
        <v>1368</v>
      </c>
      <c r="I316" s="7">
        <v>3</v>
      </c>
      <c r="J316" s="7" t="str">
        <f>INDEX(Master_Produk!$C$2:$C$11,MATCH(H316,Master_Produk!$A$2:$A$11,0))</f>
        <v>Furnitur</v>
      </c>
      <c r="K316" s="8">
        <f>INDEX(Master_Produk!$E$2:$E$11,MATCH(Data_Transaksi!H316,Master_Produk!$A$2:$A$11,0))</f>
        <v>650000</v>
      </c>
      <c r="L316" s="8">
        <f t="shared" si="19"/>
        <v>1950000</v>
      </c>
      <c r="M316" s="8">
        <f>INDEX(Master_Target!$B$2:$M$4, MATCH(J316, Master_Target!$A$2:$A$4, 0), MATCH(TEXT(B316, "[$-421]mmmm"), Master_Target!$B$1:$M$1, 0))</f>
        <v>26000000</v>
      </c>
    </row>
    <row r="317" spans="1:13" x14ac:dyDescent="0.25">
      <c r="A317" s="7" t="s">
        <v>326</v>
      </c>
      <c r="B317" s="11" t="s">
        <v>1119</v>
      </c>
      <c r="C317" s="7">
        <f t="shared" si="16"/>
        <v>4</v>
      </c>
      <c r="D317" s="7" t="str">
        <f t="shared" si="17"/>
        <v>Apr</v>
      </c>
      <c r="E317" s="7" t="s">
        <v>1351</v>
      </c>
      <c r="F317" s="7" t="str">
        <f t="shared" si="18"/>
        <v>Siti Rahma</v>
      </c>
      <c r="G317" s="7" t="s">
        <v>1357</v>
      </c>
      <c r="H317" s="7" t="s">
        <v>1371</v>
      </c>
      <c r="I317" s="7">
        <v>4</v>
      </c>
      <c r="J317" s="7" t="str">
        <f>INDEX(Master_Produk!$C$2:$C$11,MATCH(H317,Master_Produk!$A$2:$A$11,0))</f>
        <v>Pakaian</v>
      </c>
      <c r="K317" s="8">
        <f>INDEX(Master_Produk!$E$2:$E$11,MATCH(Data_Transaksi!H317,Master_Produk!$A$2:$A$11,0))</f>
        <v>280000</v>
      </c>
      <c r="L317" s="8">
        <f t="shared" si="19"/>
        <v>1120000</v>
      </c>
      <c r="M317" s="8">
        <f>INDEX(Master_Target!$B$2:$M$4, MATCH(J317, Master_Target!$A$2:$A$4, 0), MATCH(TEXT(B317, "[$-421]mmmm"), Master_Target!$B$1:$M$1, 0))</f>
        <v>19500000</v>
      </c>
    </row>
    <row r="318" spans="1:13" x14ac:dyDescent="0.25">
      <c r="A318" s="7" t="s">
        <v>327</v>
      </c>
      <c r="B318" s="11" t="s">
        <v>1119</v>
      </c>
      <c r="C318" s="7">
        <f t="shared" si="16"/>
        <v>4</v>
      </c>
      <c r="D318" s="7" t="str">
        <f t="shared" si="17"/>
        <v>Apr</v>
      </c>
      <c r="E318" s="7" t="s">
        <v>1349</v>
      </c>
      <c r="F318" s="7" t="str">
        <f t="shared" si="18"/>
        <v>Dewi Lestari</v>
      </c>
      <c r="G318" s="7" t="s">
        <v>1359</v>
      </c>
      <c r="H318" s="7" t="s">
        <v>1369</v>
      </c>
      <c r="I318" s="7">
        <v>1</v>
      </c>
      <c r="J318" s="7" t="str">
        <f>INDEX(Master_Produk!$C$2:$C$11,MATCH(H318,Master_Produk!$A$2:$A$11,0))</f>
        <v>Elektronik</v>
      </c>
      <c r="K318" s="8">
        <f>INDEX(Master_Produk!$E$2:$E$11,MATCH(Data_Transaksi!H318,Master_Produk!$A$2:$A$11,0))</f>
        <v>4500000</v>
      </c>
      <c r="L318" s="8">
        <f t="shared" si="19"/>
        <v>4500000</v>
      </c>
      <c r="M318" s="8">
        <f>INDEX(Master_Target!$B$2:$M$4, MATCH(J318, Master_Target!$A$2:$A$4, 0), MATCH(TEXT(B318, "[$-421]mmmm"), Master_Target!$B$1:$M$1, 0))</f>
        <v>65000000</v>
      </c>
    </row>
    <row r="319" spans="1:13" x14ac:dyDescent="0.25">
      <c r="A319" s="7" t="s">
        <v>328</v>
      </c>
      <c r="B319" s="11" t="s">
        <v>1120</v>
      </c>
      <c r="C319" s="7">
        <f t="shared" si="16"/>
        <v>4</v>
      </c>
      <c r="D319" s="7" t="str">
        <f t="shared" si="17"/>
        <v>Apr</v>
      </c>
      <c r="E319" s="7" t="s">
        <v>1355</v>
      </c>
      <c r="F319" s="7" t="str">
        <f t="shared" si="18"/>
        <v>Bambang H.</v>
      </c>
      <c r="G319" s="7" t="s">
        <v>1358</v>
      </c>
      <c r="H319" s="7" t="s">
        <v>1365</v>
      </c>
      <c r="I319" s="7">
        <v>2</v>
      </c>
      <c r="J319" s="7" t="str">
        <f>INDEX(Master_Produk!$C$2:$C$11,MATCH(H319,Master_Produk!$A$2:$A$11,0))</f>
        <v>Elektronik</v>
      </c>
      <c r="K319" s="8">
        <f>INDEX(Master_Produk!$E$2:$E$11,MATCH(Data_Transaksi!H319,Master_Produk!$A$2:$A$11,0))</f>
        <v>1800000</v>
      </c>
      <c r="L319" s="8">
        <f t="shared" si="19"/>
        <v>3600000</v>
      </c>
      <c r="M319" s="8">
        <f>INDEX(Master_Target!$B$2:$M$4, MATCH(J319, Master_Target!$A$2:$A$4, 0), MATCH(TEXT(B319, "[$-421]mmmm"), Master_Target!$B$1:$M$1, 0))</f>
        <v>65000000</v>
      </c>
    </row>
    <row r="320" spans="1:13" x14ac:dyDescent="0.25">
      <c r="A320" s="7" t="s">
        <v>329</v>
      </c>
      <c r="B320" s="11" t="s">
        <v>1120</v>
      </c>
      <c r="C320" s="7">
        <f t="shared" si="16"/>
        <v>4</v>
      </c>
      <c r="D320" s="7" t="str">
        <f t="shared" si="17"/>
        <v>Apr</v>
      </c>
      <c r="E320" s="7" t="s">
        <v>1356</v>
      </c>
      <c r="F320" s="7" t="str">
        <f t="shared" si="18"/>
        <v>Eko Prasetyo</v>
      </c>
      <c r="G320" s="7" t="s">
        <v>1358</v>
      </c>
      <c r="H320" s="7" t="s">
        <v>1369</v>
      </c>
      <c r="I320" s="7">
        <v>4</v>
      </c>
      <c r="J320" s="7" t="str">
        <f>INDEX(Master_Produk!$C$2:$C$11,MATCH(H320,Master_Produk!$A$2:$A$11,0))</f>
        <v>Elektronik</v>
      </c>
      <c r="K320" s="8">
        <f>INDEX(Master_Produk!$E$2:$E$11,MATCH(Data_Transaksi!H320,Master_Produk!$A$2:$A$11,0))</f>
        <v>4500000</v>
      </c>
      <c r="L320" s="8">
        <f t="shared" si="19"/>
        <v>18000000</v>
      </c>
      <c r="M320" s="8">
        <f>INDEX(Master_Target!$B$2:$M$4, MATCH(J320, Master_Target!$A$2:$A$4, 0), MATCH(TEXT(B320, "[$-421]mmmm"), Master_Target!$B$1:$M$1, 0))</f>
        <v>65000000</v>
      </c>
    </row>
    <row r="321" spans="1:13" x14ac:dyDescent="0.25">
      <c r="A321" s="7" t="s">
        <v>330</v>
      </c>
      <c r="B321" s="11" t="s">
        <v>1121</v>
      </c>
      <c r="C321" s="7">
        <f t="shared" si="16"/>
        <v>5</v>
      </c>
      <c r="D321" s="7" t="str">
        <f t="shared" si="17"/>
        <v>May</v>
      </c>
      <c r="E321" s="7" t="s">
        <v>1347</v>
      </c>
      <c r="F321" s="7" t="str">
        <f t="shared" si="18"/>
        <v>Rina Marlina</v>
      </c>
      <c r="G321" s="7" t="s">
        <v>1357</v>
      </c>
      <c r="H321" s="7" t="s">
        <v>1370</v>
      </c>
      <c r="I321" s="7">
        <v>1</v>
      </c>
      <c r="J321" s="7" t="str">
        <f>INDEX(Master_Produk!$C$2:$C$11,MATCH(H321,Master_Produk!$A$2:$A$11,0))</f>
        <v>Furnitur</v>
      </c>
      <c r="K321" s="8">
        <f>INDEX(Master_Produk!$E$2:$E$11,MATCH(Data_Transaksi!H321,Master_Produk!$A$2:$A$11,0))</f>
        <v>1200000</v>
      </c>
      <c r="L321" s="8">
        <f t="shared" si="19"/>
        <v>1200000</v>
      </c>
      <c r="M321" s="8">
        <f>INDEX(Master_Target!$B$2:$M$4, MATCH(J321, Master_Target!$A$2:$A$4, 0), MATCH(TEXT(B321, "[$-421]mmmm"), Master_Target!$B$1:$M$1, 0))</f>
        <v>28000000</v>
      </c>
    </row>
    <row r="322" spans="1:13" x14ac:dyDescent="0.25">
      <c r="A322" s="7" t="s">
        <v>331</v>
      </c>
      <c r="B322" s="11" t="s">
        <v>1121</v>
      </c>
      <c r="C322" s="7">
        <f t="shared" si="16"/>
        <v>5</v>
      </c>
      <c r="D322" s="7" t="str">
        <f t="shared" si="17"/>
        <v>May</v>
      </c>
      <c r="E322" s="7" t="s">
        <v>1348</v>
      </c>
      <c r="F322" s="7" t="str">
        <f t="shared" si="18"/>
        <v>Budi Santoso</v>
      </c>
      <c r="G322" s="7" t="s">
        <v>1359</v>
      </c>
      <c r="H322" s="7" t="s">
        <v>1370</v>
      </c>
      <c r="I322" s="7">
        <v>2</v>
      </c>
      <c r="J322" s="7" t="str">
        <f>INDEX(Master_Produk!$C$2:$C$11,MATCH(H322,Master_Produk!$A$2:$A$11,0))</f>
        <v>Furnitur</v>
      </c>
      <c r="K322" s="8">
        <f>INDEX(Master_Produk!$E$2:$E$11,MATCH(Data_Transaksi!H322,Master_Produk!$A$2:$A$11,0))</f>
        <v>1200000</v>
      </c>
      <c r="L322" s="8">
        <f t="shared" si="19"/>
        <v>2400000</v>
      </c>
      <c r="M322" s="8">
        <f>INDEX(Master_Target!$B$2:$M$4, MATCH(J322, Master_Target!$A$2:$A$4, 0), MATCH(TEXT(B322, "[$-421]mmmm"), Master_Target!$B$1:$M$1, 0))</f>
        <v>28000000</v>
      </c>
    </row>
    <row r="323" spans="1:13" x14ac:dyDescent="0.25">
      <c r="A323" s="7" t="s">
        <v>332</v>
      </c>
      <c r="B323" s="11" t="s">
        <v>1122</v>
      </c>
      <c r="C323" s="7">
        <f t="shared" ref="C323:C386" si="20">MONTH(B323)</f>
        <v>5</v>
      </c>
      <c r="D323" s="7" t="str">
        <f t="shared" ref="D323:D386" si="21">TEXT(B323,"mmm")</f>
        <v>May</v>
      </c>
      <c r="E323" s="7" t="s">
        <v>1355</v>
      </c>
      <c r="F323" s="7" t="str">
        <f t="shared" ref="F323:F386" si="22">TRIM(PROPER(E323))</f>
        <v>Bambang H.</v>
      </c>
      <c r="G323" s="7" t="s">
        <v>1358</v>
      </c>
      <c r="H323" s="7" t="s">
        <v>1367</v>
      </c>
      <c r="I323" s="7">
        <v>1</v>
      </c>
      <c r="J323" s="7" t="str">
        <f>INDEX(Master_Produk!$C$2:$C$11,MATCH(H323,Master_Produk!$A$2:$A$11,0))</f>
        <v>Elektronik</v>
      </c>
      <c r="K323" s="8">
        <f>INDEX(Master_Produk!$E$2:$E$11,MATCH(Data_Transaksi!H323,Master_Produk!$A$2:$A$11,0))</f>
        <v>250000</v>
      </c>
      <c r="L323" s="8">
        <f t="shared" ref="L323:L386" si="23">I323*K323</f>
        <v>250000</v>
      </c>
      <c r="M323" s="8">
        <f>INDEX(Master_Target!$B$2:$M$4, MATCH(J323, Master_Target!$A$2:$A$4, 0), MATCH(TEXT(B323, "[$-421]mmmm"), Master_Target!$B$1:$M$1, 0))</f>
        <v>70000000</v>
      </c>
    </row>
    <row r="324" spans="1:13" x14ac:dyDescent="0.25">
      <c r="A324" s="7" t="s">
        <v>333</v>
      </c>
      <c r="B324" s="11" t="s">
        <v>1122</v>
      </c>
      <c r="C324" s="7">
        <f t="shared" si="20"/>
        <v>5</v>
      </c>
      <c r="D324" s="7" t="str">
        <f t="shared" si="21"/>
        <v>May</v>
      </c>
      <c r="E324" s="7" t="s">
        <v>1353</v>
      </c>
      <c r="F324" s="7" t="str">
        <f t="shared" si="22"/>
        <v>Sari Yuliana</v>
      </c>
      <c r="G324" s="7" t="s">
        <v>1358</v>
      </c>
      <c r="H324" s="7" t="s">
        <v>1371</v>
      </c>
      <c r="I324" s="7">
        <v>4</v>
      </c>
      <c r="J324" s="7" t="str">
        <f>INDEX(Master_Produk!$C$2:$C$11,MATCH(H324,Master_Produk!$A$2:$A$11,0))</f>
        <v>Pakaian</v>
      </c>
      <c r="K324" s="8">
        <f>INDEX(Master_Produk!$E$2:$E$11,MATCH(Data_Transaksi!H324,Master_Produk!$A$2:$A$11,0))</f>
        <v>280000</v>
      </c>
      <c r="L324" s="8">
        <f t="shared" si="23"/>
        <v>1120000</v>
      </c>
      <c r="M324" s="8">
        <f>INDEX(Master_Target!$B$2:$M$4, MATCH(J324, Master_Target!$A$2:$A$4, 0), MATCH(TEXT(B324, "[$-421]mmmm"), Master_Target!$B$1:$M$1, 0))</f>
        <v>21000000</v>
      </c>
    </row>
    <row r="325" spans="1:13" x14ac:dyDescent="0.25">
      <c r="A325" s="7" t="s">
        <v>334</v>
      </c>
      <c r="B325" s="11" t="s">
        <v>1122</v>
      </c>
      <c r="C325" s="7">
        <f t="shared" si="20"/>
        <v>5</v>
      </c>
      <c r="D325" s="7" t="str">
        <f t="shared" si="21"/>
        <v>May</v>
      </c>
      <c r="E325" s="7" t="s">
        <v>1353</v>
      </c>
      <c r="F325" s="7" t="str">
        <f t="shared" si="22"/>
        <v>Sari Yuliana</v>
      </c>
      <c r="G325" s="7" t="s">
        <v>1359</v>
      </c>
      <c r="H325" s="7" t="s">
        <v>1364</v>
      </c>
      <c r="I325" s="7">
        <v>5</v>
      </c>
      <c r="J325" s="7" t="str">
        <f>INDEX(Master_Produk!$C$2:$C$11,MATCH(H325,Master_Produk!$A$2:$A$11,0))</f>
        <v>Furnitur</v>
      </c>
      <c r="K325" s="8">
        <f>INDEX(Master_Produk!$E$2:$E$11,MATCH(Data_Transaksi!H325,Master_Produk!$A$2:$A$11,0))</f>
        <v>950000</v>
      </c>
      <c r="L325" s="8">
        <f t="shared" si="23"/>
        <v>4750000</v>
      </c>
      <c r="M325" s="8">
        <f>INDEX(Master_Target!$B$2:$M$4, MATCH(J325, Master_Target!$A$2:$A$4, 0), MATCH(TEXT(B325, "[$-421]mmmm"), Master_Target!$B$1:$M$1, 0))</f>
        <v>28000000</v>
      </c>
    </row>
    <row r="326" spans="1:13" x14ac:dyDescent="0.25">
      <c r="A326" s="7" t="s">
        <v>335</v>
      </c>
      <c r="B326" s="11" t="s">
        <v>1122</v>
      </c>
      <c r="C326" s="7">
        <f t="shared" si="20"/>
        <v>5</v>
      </c>
      <c r="D326" s="7" t="str">
        <f t="shared" si="21"/>
        <v>May</v>
      </c>
      <c r="E326" s="7" t="s">
        <v>1347</v>
      </c>
      <c r="F326" s="7" t="str">
        <f t="shared" si="22"/>
        <v>Rina Marlina</v>
      </c>
      <c r="G326" s="7" t="s">
        <v>1361</v>
      </c>
      <c r="H326" s="7" t="s">
        <v>1366</v>
      </c>
      <c r="I326" s="7">
        <v>5</v>
      </c>
      <c r="J326" s="7" t="str">
        <f>INDEX(Master_Produk!$C$2:$C$11,MATCH(H326,Master_Produk!$A$2:$A$11,0))</f>
        <v>Elektronik</v>
      </c>
      <c r="K326" s="8">
        <f>INDEX(Master_Produk!$E$2:$E$11,MATCH(Data_Transaksi!H326,Master_Produk!$A$2:$A$11,0))</f>
        <v>7500000</v>
      </c>
      <c r="L326" s="8">
        <f t="shared" si="23"/>
        <v>37500000</v>
      </c>
      <c r="M326" s="8">
        <f>INDEX(Master_Target!$B$2:$M$4, MATCH(J326, Master_Target!$A$2:$A$4, 0), MATCH(TEXT(B326, "[$-421]mmmm"), Master_Target!$B$1:$M$1, 0))</f>
        <v>70000000</v>
      </c>
    </row>
    <row r="327" spans="1:13" x14ac:dyDescent="0.25">
      <c r="A327" s="7" t="s">
        <v>336</v>
      </c>
      <c r="B327" s="11" t="s">
        <v>1122</v>
      </c>
      <c r="C327" s="7">
        <f t="shared" si="20"/>
        <v>5</v>
      </c>
      <c r="D327" s="7" t="str">
        <f t="shared" si="21"/>
        <v>May</v>
      </c>
      <c r="E327" s="7" t="s">
        <v>1347</v>
      </c>
      <c r="F327" s="7" t="str">
        <f t="shared" si="22"/>
        <v>Rina Marlina</v>
      </c>
      <c r="G327" s="7" t="s">
        <v>1361</v>
      </c>
      <c r="H327" s="7" t="s">
        <v>1363</v>
      </c>
      <c r="I327" s="7">
        <v>2</v>
      </c>
      <c r="J327" s="7" t="str">
        <f>INDEX(Master_Produk!$C$2:$C$11,MATCH(H327,Master_Produk!$A$2:$A$11,0))</f>
        <v>Pakaian</v>
      </c>
      <c r="K327" s="8">
        <f>INDEX(Master_Produk!$E$2:$E$11,MATCH(Data_Transaksi!H327,Master_Produk!$A$2:$A$11,0))</f>
        <v>250000</v>
      </c>
      <c r="L327" s="8">
        <f t="shared" si="23"/>
        <v>500000</v>
      </c>
      <c r="M327" s="8">
        <f>INDEX(Master_Target!$B$2:$M$4, MATCH(J327, Master_Target!$A$2:$A$4, 0), MATCH(TEXT(B327, "[$-421]mmmm"), Master_Target!$B$1:$M$1, 0))</f>
        <v>21000000</v>
      </c>
    </row>
    <row r="328" spans="1:13" x14ac:dyDescent="0.25">
      <c r="A328" s="7" t="s">
        <v>337</v>
      </c>
      <c r="B328" s="11" t="s">
        <v>1122</v>
      </c>
      <c r="C328" s="7">
        <f t="shared" si="20"/>
        <v>5</v>
      </c>
      <c r="D328" s="7" t="str">
        <f t="shared" si="21"/>
        <v>May</v>
      </c>
      <c r="E328" s="7" t="s">
        <v>1352</v>
      </c>
      <c r="F328" s="7" t="str">
        <f t="shared" si="22"/>
        <v>Ahmad Fauzi</v>
      </c>
      <c r="G328" s="7" t="s">
        <v>1358</v>
      </c>
      <c r="H328" s="7" t="s">
        <v>1365</v>
      </c>
      <c r="I328" s="7">
        <v>4</v>
      </c>
      <c r="J328" s="7" t="str">
        <f>INDEX(Master_Produk!$C$2:$C$11,MATCH(H328,Master_Produk!$A$2:$A$11,0))</f>
        <v>Elektronik</v>
      </c>
      <c r="K328" s="8">
        <f>INDEX(Master_Produk!$E$2:$E$11,MATCH(Data_Transaksi!H328,Master_Produk!$A$2:$A$11,0))</f>
        <v>1800000</v>
      </c>
      <c r="L328" s="8">
        <f t="shared" si="23"/>
        <v>7200000</v>
      </c>
      <c r="M328" s="8">
        <f>INDEX(Master_Target!$B$2:$M$4, MATCH(J328, Master_Target!$A$2:$A$4, 0), MATCH(TEXT(B328, "[$-421]mmmm"), Master_Target!$B$1:$M$1, 0))</f>
        <v>70000000</v>
      </c>
    </row>
    <row r="329" spans="1:13" x14ac:dyDescent="0.25">
      <c r="A329" s="7" t="s">
        <v>338</v>
      </c>
      <c r="B329" s="11" t="s">
        <v>1123</v>
      </c>
      <c r="C329" s="7">
        <f t="shared" si="20"/>
        <v>5</v>
      </c>
      <c r="D329" s="7" t="str">
        <f t="shared" si="21"/>
        <v>May</v>
      </c>
      <c r="E329" s="7" t="s">
        <v>1350</v>
      </c>
      <c r="F329" s="7" t="str">
        <f t="shared" si="22"/>
        <v>Andi Wijaya</v>
      </c>
      <c r="G329" s="7" t="s">
        <v>1360</v>
      </c>
      <c r="H329" s="7" t="s">
        <v>1364</v>
      </c>
      <c r="I329" s="7">
        <v>3</v>
      </c>
      <c r="J329" s="7" t="str">
        <f>INDEX(Master_Produk!$C$2:$C$11,MATCH(H329,Master_Produk!$A$2:$A$11,0))</f>
        <v>Furnitur</v>
      </c>
      <c r="K329" s="8">
        <f>INDEX(Master_Produk!$E$2:$E$11,MATCH(Data_Transaksi!H329,Master_Produk!$A$2:$A$11,0))</f>
        <v>950000</v>
      </c>
      <c r="L329" s="8">
        <f t="shared" si="23"/>
        <v>2850000</v>
      </c>
      <c r="M329" s="8">
        <f>INDEX(Master_Target!$B$2:$M$4, MATCH(J329, Master_Target!$A$2:$A$4, 0), MATCH(TEXT(B329, "[$-421]mmmm"), Master_Target!$B$1:$M$1, 0))</f>
        <v>28000000</v>
      </c>
    </row>
    <row r="330" spans="1:13" x14ac:dyDescent="0.25">
      <c r="A330" s="7" t="s">
        <v>339</v>
      </c>
      <c r="B330" s="11" t="s">
        <v>1124</v>
      </c>
      <c r="C330" s="7">
        <f t="shared" si="20"/>
        <v>5</v>
      </c>
      <c r="D330" s="7" t="str">
        <f t="shared" si="21"/>
        <v>May</v>
      </c>
      <c r="E330" s="7" t="s">
        <v>1352</v>
      </c>
      <c r="F330" s="7" t="str">
        <f t="shared" si="22"/>
        <v>Ahmad Fauzi</v>
      </c>
      <c r="G330" s="7" t="s">
        <v>1359</v>
      </c>
      <c r="H330" s="7" t="s">
        <v>1367</v>
      </c>
      <c r="I330" s="7">
        <v>1</v>
      </c>
      <c r="J330" s="7" t="str">
        <f>INDEX(Master_Produk!$C$2:$C$11,MATCH(H330,Master_Produk!$A$2:$A$11,0))</f>
        <v>Elektronik</v>
      </c>
      <c r="K330" s="8">
        <f>INDEX(Master_Produk!$E$2:$E$11,MATCH(Data_Transaksi!H330,Master_Produk!$A$2:$A$11,0))</f>
        <v>250000</v>
      </c>
      <c r="L330" s="8">
        <f t="shared" si="23"/>
        <v>250000</v>
      </c>
      <c r="M330" s="8">
        <f>INDEX(Master_Target!$B$2:$M$4, MATCH(J330, Master_Target!$A$2:$A$4, 0), MATCH(TEXT(B330, "[$-421]mmmm"), Master_Target!$B$1:$M$1, 0))</f>
        <v>70000000</v>
      </c>
    </row>
    <row r="331" spans="1:13" x14ac:dyDescent="0.25">
      <c r="A331" s="7" t="s">
        <v>340</v>
      </c>
      <c r="B331" s="11" t="s">
        <v>1124</v>
      </c>
      <c r="C331" s="7">
        <f t="shared" si="20"/>
        <v>5</v>
      </c>
      <c r="D331" s="7" t="str">
        <f t="shared" si="21"/>
        <v>May</v>
      </c>
      <c r="E331" s="7" t="s">
        <v>1349</v>
      </c>
      <c r="F331" s="7" t="str">
        <f t="shared" si="22"/>
        <v>Dewi Lestari</v>
      </c>
      <c r="G331" s="7" t="s">
        <v>1359</v>
      </c>
      <c r="H331" s="7" t="s">
        <v>1363</v>
      </c>
      <c r="I331" s="7">
        <v>3</v>
      </c>
      <c r="J331" s="7" t="str">
        <f>INDEX(Master_Produk!$C$2:$C$11,MATCH(H331,Master_Produk!$A$2:$A$11,0))</f>
        <v>Pakaian</v>
      </c>
      <c r="K331" s="8">
        <f>INDEX(Master_Produk!$E$2:$E$11,MATCH(Data_Transaksi!H331,Master_Produk!$A$2:$A$11,0))</f>
        <v>250000</v>
      </c>
      <c r="L331" s="8">
        <f t="shared" si="23"/>
        <v>750000</v>
      </c>
      <c r="M331" s="8">
        <f>INDEX(Master_Target!$B$2:$M$4, MATCH(J331, Master_Target!$A$2:$A$4, 0), MATCH(TEXT(B331, "[$-421]mmmm"), Master_Target!$B$1:$M$1, 0))</f>
        <v>21000000</v>
      </c>
    </row>
    <row r="332" spans="1:13" x14ac:dyDescent="0.25">
      <c r="A332" s="7" t="s">
        <v>341</v>
      </c>
      <c r="B332" s="11" t="s">
        <v>1125</v>
      </c>
      <c r="C332" s="7">
        <f t="shared" si="20"/>
        <v>5</v>
      </c>
      <c r="D332" s="7" t="str">
        <f t="shared" si="21"/>
        <v>May</v>
      </c>
      <c r="E332" s="7" t="s">
        <v>1351</v>
      </c>
      <c r="F332" s="7" t="str">
        <f t="shared" si="22"/>
        <v>Siti Rahma</v>
      </c>
      <c r="G332" s="7" t="s">
        <v>1360</v>
      </c>
      <c r="H332" s="7" t="s">
        <v>1371</v>
      </c>
      <c r="I332" s="7">
        <v>1</v>
      </c>
      <c r="J332" s="7" t="str">
        <f>INDEX(Master_Produk!$C$2:$C$11,MATCH(H332,Master_Produk!$A$2:$A$11,0))</f>
        <v>Pakaian</v>
      </c>
      <c r="K332" s="8">
        <f>INDEX(Master_Produk!$E$2:$E$11,MATCH(Data_Transaksi!H332,Master_Produk!$A$2:$A$11,0))</f>
        <v>280000</v>
      </c>
      <c r="L332" s="8">
        <f t="shared" si="23"/>
        <v>280000</v>
      </c>
      <c r="M332" s="8">
        <f>INDEX(Master_Target!$B$2:$M$4, MATCH(J332, Master_Target!$A$2:$A$4, 0), MATCH(TEXT(B332, "[$-421]mmmm"), Master_Target!$B$1:$M$1, 0))</f>
        <v>21000000</v>
      </c>
    </row>
    <row r="333" spans="1:13" x14ac:dyDescent="0.25">
      <c r="A333" s="7" t="s">
        <v>342</v>
      </c>
      <c r="B333" s="11" t="s">
        <v>1126</v>
      </c>
      <c r="C333" s="7">
        <f t="shared" si="20"/>
        <v>5</v>
      </c>
      <c r="D333" s="7" t="str">
        <f t="shared" si="21"/>
        <v>May</v>
      </c>
      <c r="E333" s="7" t="s">
        <v>1356</v>
      </c>
      <c r="F333" s="7" t="str">
        <f t="shared" si="22"/>
        <v>Eko Prasetyo</v>
      </c>
      <c r="G333" s="7" t="s">
        <v>1359</v>
      </c>
      <c r="H333" s="7" t="s">
        <v>1363</v>
      </c>
      <c r="I333" s="7">
        <v>2</v>
      </c>
      <c r="J333" s="7" t="str">
        <f>INDEX(Master_Produk!$C$2:$C$11,MATCH(H333,Master_Produk!$A$2:$A$11,0))</f>
        <v>Pakaian</v>
      </c>
      <c r="K333" s="8">
        <f>INDEX(Master_Produk!$E$2:$E$11,MATCH(Data_Transaksi!H333,Master_Produk!$A$2:$A$11,0))</f>
        <v>250000</v>
      </c>
      <c r="L333" s="8">
        <f t="shared" si="23"/>
        <v>500000</v>
      </c>
      <c r="M333" s="8">
        <f>INDEX(Master_Target!$B$2:$M$4, MATCH(J333, Master_Target!$A$2:$A$4, 0), MATCH(TEXT(B333, "[$-421]mmmm"), Master_Target!$B$1:$M$1, 0))</f>
        <v>21000000</v>
      </c>
    </row>
    <row r="334" spans="1:13" x14ac:dyDescent="0.25">
      <c r="A334" s="7" t="s">
        <v>343</v>
      </c>
      <c r="B334" s="11" t="s">
        <v>1126</v>
      </c>
      <c r="C334" s="7">
        <f t="shared" si="20"/>
        <v>5</v>
      </c>
      <c r="D334" s="7" t="str">
        <f t="shared" si="21"/>
        <v>May</v>
      </c>
      <c r="E334" s="7" t="s">
        <v>1347</v>
      </c>
      <c r="F334" s="7" t="str">
        <f t="shared" si="22"/>
        <v>Rina Marlina</v>
      </c>
      <c r="G334" s="7" t="s">
        <v>1357</v>
      </c>
      <c r="H334" s="7" t="s">
        <v>1362</v>
      </c>
      <c r="I334" s="7">
        <v>1</v>
      </c>
      <c r="J334" s="7" t="str">
        <f>INDEX(Master_Produk!$C$2:$C$11,MATCH(H334,Master_Produk!$A$2:$A$11,0))</f>
        <v>Pakaian</v>
      </c>
      <c r="K334" s="8">
        <f>INDEX(Master_Produk!$E$2:$E$11,MATCH(Data_Transaksi!H334,Master_Produk!$A$2:$A$11,0))</f>
        <v>350000</v>
      </c>
      <c r="L334" s="8">
        <f t="shared" si="23"/>
        <v>350000</v>
      </c>
      <c r="M334" s="8">
        <f>INDEX(Master_Target!$B$2:$M$4, MATCH(J334, Master_Target!$A$2:$A$4, 0), MATCH(TEXT(B334, "[$-421]mmmm"), Master_Target!$B$1:$M$1, 0))</f>
        <v>21000000</v>
      </c>
    </row>
    <row r="335" spans="1:13" x14ac:dyDescent="0.25">
      <c r="A335" s="7" t="s">
        <v>344</v>
      </c>
      <c r="B335" s="11" t="s">
        <v>1126</v>
      </c>
      <c r="C335" s="7">
        <f t="shared" si="20"/>
        <v>5</v>
      </c>
      <c r="D335" s="7" t="str">
        <f t="shared" si="21"/>
        <v>May</v>
      </c>
      <c r="E335" s="7" t="s">
        <v>1350</v>
      </c>
      <c r="F335" s="7" t="str">
        <f t="shared" si="22"/>
        <v>Andi Wijaya</v>
      </c>
      <c r="G335" s="7" t="s">
        <v>1359</v>
      </c>
      <c r="H335" s="7" t="s">
        <v>1362</v>
      </c>
      <c r="I335" s="7">
        <v>1</v>
      </c>
      <c r="J335" s="7" t="str">
        <f>INDEX(Master_Produk!$C$2:$C$11,MATCH(H335,Master_Produk!$A$2:$A$11,0))</f>
        <v>Pakaian</v>
      </c>
      <c r="K335" s="8">
        <f>INDEX(Master_Produk!$E$2:$E$11,MATCH(Data_Transaksi!H335,Master_Produk!$A$2:$A$11,0))</f>
        <v>350000</v>
      </c>
      <c r="L335" s="8">
        <f t="shared" si="23"/>
        <v>350000</v>
      </c>
      <c r="M335" s="8">
        <f>INDEX(Master_Target!$B$2:$M$4, MATCH(J335, Master_Target!$A$2:$A$4, 0), MATCH(TEXT(B335, "[$-421]mmmm"), Master_Target!$B$1:$M$1, 0))</f>
        <v>21000000</v>
      </c>
    </row>
    <row r="336" spans="1:13" x14ac:dyDescent="0.25">
      <c r="A336" s="7" t="s">
        <v>345</v>
      </c>
      <c r="B336" s="11" t="s">
        <v>1126</v>
      </c>
      <c r="C336" s="7">
        <f t="shared" si="20"/>
        <v>5</v>
      </c>
      <c r="D336" s="7" t="str">
        <f t="shared" si="21"/>
        <v>May</v>
      </c>
      <c r="E336" s="7" t="s">
        <v>1356</v>
      </c>
      <c r="F336" s="7" t="str">
        <f t="shared" si="22"/>
        <v>Eko Prasetyo</v>
      </c>
      <c r="G336" s="7" t="s">
        <v>1359</v>
      </c>
      <c r="H336" s="7" t="s">
        <v>1366</v>
      </c>
      <c r="I336" s="7">
        <v>1</v>
      </c>
      <c r="J336" s="7" t="str">
        <f>INDEX(Master_Produk!$C$2:$C$11,MATCH(H336,Master_Produk!$A$2:$A$11,0))</f>
        <v>Elektronik</v>
      </c>
      <c r="K336" s="8">
        <f>INDEX(Master_Produk!$E$2:$E$11,MATCH(Data_Transaksi!H336,Master_Produk!$A$2:$A$11,0))</f>
        <v>7500000</v>
      </c>
      <c r="L336" s="8">
        <f t="shared" si="23"/>
        <v>7500000</v>
      </c>
      <c r="M336" s="8">
        <f>INDEX(Master_Target!$B$2:$M$4, MATCH(J336, Master_Target!$A$2:$A$4, 0), MATCH(TEXT(B336, "[$-421]mmmm"), Master_Target!$B$1:$M$1, 0))</f>
        <v>70000000</v>
      </c>
    </row>
    <row r="337" spans="1:13" x14ac:dyDescent="0.25">
      <c r="A337" s="7" t="s">
        <v>346</v>
      </c>
      <c r="B337" s="11" t="s">
        <v>1126</v>
      </c>
      <c r="C337" s="7">
        <f t="shared" si="20"/>
        <v>5</v>
      </c>
      <c r="D337" s="7" t="str">
        <f t="shared" si="21"/>
        <v>May</v>
      </c>
      <c r="E337" s="7" t="s">
        <v>1349</v>
      </c>
      <c r="F337" s="7" t="str">
        <f t="shared" si="22"/>
        <v>Dewi Lestari</v>
      </c>
      <c r="G337" s="7" t="s">
        <v>1359</v>
      </c>
      <c r="H337" s="7" t="s">
        <v>1363</v>
      </c>
      <c r="I337" s="7">
        <v>2</v>
      </c>
      <c r="J337" s="7" t="str">
        <f>INDEX(Master_Produk!$C$2:$C$11,MATCH(H337,Master_Produk!$A$2:$A$11,0))</f>
        <v>Pakaian</v>
      </c>
      <c r="K337" s="8">
        <f>INDEX(Master_Produk!$E$2:$E$11,MATCH(Data_Transaksi!H337,Master_Produk!$A$2:$A$11,0))</f>
        <v>250000</v>
      </c>
      <c r="L337" s="8">
        <f t="shared" si="23"/>
        <v>500000</v>
      </c>
      <c r="M337" s="8">
        <f>INDEX(Master_Target!$B$2:$M$4, MATCH(J337, Master_Target!$A$2:$A$4, 0), MATCH(TEXT(B337, "[$-421]mmmm"), Master_Target!$B$1:$M$1, 0))</f>
        <v>21000000</v>
      </c>
    </row>
    <row r="338" spans="1:13" x14ac:dyDescent="0.25">
      <c r="A338" s="7" t="s">
        <v>347</v>
      </c>
      <c r="B338" s="11" t="s">
        <v>1126</v>
      </c>
      <c r="C338" s="7">
        <f t="shared" si="20"/>
        <v>5</v>
      </c>
      <c r="D338" s="7" t="str">
        <f t="shared" si="21"/>
        <v>May</v>
      </c>
      <c r="E338" s="7" t="s">
        <v>1351</v>
      </c>
      <c r="F338" s="7" t="str">
        <f t="shared" si="22"/>
        <v>Siti Rahma</v>
      </c>
      <c r="G338" s="7" t="s">
        <v>1361</v>
      </c>
      <c r="H338" s="7" t="s">
        <v>1371</v>
      </c>
      <c r="I338" s="7">
        <v>1</v>
      </c>
      <c r="J338" s="7" t="str">
        <f>INDEX(Master_Produk!$C$2:$C$11,MATCH(H338,Master_Produk!$A$2:$A$11,0))</f>
        <v>Pakaian</v>
      </c>
      <c r="K338" s="8">
        <f>INDEX(Master_Produk!$E$2:$E$11,MATCH(Data_Transaksi!H338,Master_Produk!$A$2:$A$11,0))</f>
        <v>280000</v>
      </c>
      <c r="L338" s="8">
        <f t="shared" si="23"/>
        <v>280000</v>
      </c>
      <c r="M338" s="8">
        <f>INDEX(Master_Target!$B$2:$M$4, MATCH(J338, Master_Target!$A$2:$A$4, 0), MATCH(TEXT(B338, "[$-421]mmmm"), Master_Target!$B$1:$M$1, 0))</f>
        <v>21000000</v>
      </c>
    </row>
    <row r="339" spans="1:13" x14ac:dyDescent="0.25">
      <c r="A339" s="7" t="s">
        <v>348</v>
      </c>
      <c r="B339" s="11" t="s">
        <v>1127</v>
      </c>
      <c r="C339" s="7">
        <f t="shared" si="20"/>
        <v>5</v>
      </c>
      <c r="D339" s="7" t="str">
        <f t="shared" si="21"/>
        <v>May</v>
      </c>
      <c r="E339" s="7" t="s">
        <v>1355</v>
      </c>
      <c r="F339" s="7" t="str">
        <f t="shared" si="22"/>
        <v>Bambang H.</v>
      </c>
      <c r="G339" s="7" t="s">
        <v>1357</v>
      </c>
      <c r="H339" s="7" t="s">
        <v>1364</v>
      </c>
      <c r="I339" s="7">
        <v>3</v>
      </c>
      <c r="J339" s="7" t="str">
        <f>INDEX(Master_Produk!$C$2:$C$11,MATCH(H339,Master_Produk!$A$2:$A$11,0))</f>
        <v>Furnitur</v>
      </c>
      <c r="K339" s="8">
        <f>INDEX(Master_Produk!$E$2:$E$11,MATCH(Data_Transaksi!H339,Master_Produk!$A$2:$A$11,0))</f>
        <v>950000</v>
      </c>
      <c r="L339" s="8">
        <f t="shared" si="23"/>
        <v>2850000</v>
      </c>
      <c r="M339" s="8">
        <f>INDEX(Master_Target!$B$2:$M$4, MATCH(J339, Master_Target!$A$2:$A$4, 0), MATCH(TEXT(B339, "[$-421]mmmm"), Master_Target!$B$1:$M$1, 0))</f>
        <v>28000000</v>
      </c>
    </row>
    <row r="340" spans="1:13" x14ac:dyDescent="0.25">
      <c r="A340" s="7" t="s">
        <v>349</v>
      </c>
      <c r="B340" s="11" t="s">
        <v>1127</v>
      </c>
      <c r="C340" s="7">
        <f t="shared" si="20"/>
        <v>5</v>
      </c>
      <c r="D340" s="7" t="str">
        <f t="shared" si="21"/>
        <v>May</v>
      </c>
      <c r="E340" s="7" t="s">
        <v>1352</v>
      </c>
      <c r="F340" s="7" t="str">
        <f t="shared" si="22"/>
        <v>Ahmad Fauzi</v>
      </c>
      <c r="G340" s="7" t="s">
        <v>1359</v>
      </c>
      <c r="H340" s="7" t="s">
        <v>1366</v>
      </c>
      <c r="I340" s="7">
        <v>1</v>
      </c>
      <c r="J340" s="7" t="str">
        <f>INDEX(Master_Produk!$C$2:$C$11,MATCH(H340,Master_Produk!$A$2:$A$11,0))</f>
        <v>Elektronik</v>
      </c>
      <c r="K340" s="8">
        <f>INDEX(Master_Produk!$E$2:$E$11,MATCH(Data_Transaksi!H340,Master_Produk!$A$2:$A$11,0))</f>
        <v>7500000</v>
      </c>
      <c r="L340" s="8">
        <f t="shared" si="23"/>
        <v>7500000</v>
      </c>
      <c r="M340" s="8">
        <f>INDEX(Master_Target!$B$2:$M$4, MATCH(J340, Master_Target!$A$2:$A$4, 0), MATCH(TEXT(B340, "[$-421]mmmm"), Master_Target!$B$1:$M$1, 0))</f>
        <v>70000000</v>
      </c>
    </row>
    <row r="341" spans="1:13" x14ac:dyDescent="0.25">
      <c r="A341" s="7" t="s">
        <v>350</v>
      </c>
      <c r="B341" s="11" t="s">
        <v>1127</v>
      </c>
      <c r="C341" s="7">
        <f t="shared" si="20"/>
        <v>5</v>
      </c>
      <c r="D341" s="7" t="str">
        <f t="shared" si="21"/>
        <v>May</v>
      </c>
      <c r="E341" s="7" t="s">
        <v>1349</v>
      </c>
      <c r="F341" s="7" t="str">
        <f t="shared" si="22"/>
        <v>Dewi Lestari</v>
      </c>
      <c r="G341" s="7" t="s">
        <v>1357</v>
      </c>
      <c r="H341" s="7" t="s">
        <v>1369</v>
      </c>
      <c r="I341" s="7">
        <v>1</v>
      </c>
      <c r="J341" s="7" t="str">
        <f>INDEX(Master_Produk!$C$2:$C$11,MATCH(H341,Master_Produk!$A$2:$A$11,0))</f>
        <v>Elektronik</v>
      </c>
      <c r="K341" s="8">
        <f>INDEX(Master_Produk!$E$2:$E$11,MATCH(Data_Transaksi!H341,Master_Produk!$A$2:$A$11,0))</f>
        <v>4500000</v>
      </c>
      <c r="L341" s="8">
        <f t="shared" si="23"/>
        <v>4500000</v>
      </c>
      <c r="M341" s="8">
        <f>INDEX(Master_Target!$B$2:$M$4, MATCH(J341, Master_Target!$A$2:$A$4, 0), MATCH(TEXT(B341, "[$-421]mmmm"), Master_Target!$B$1:$M$1, 0))</f>
        <v>70000000</v>
      </c>
    </row>
    <row r="342" spans="1:13" x14ac:dyDescent="0.25">
      <c r="A342" s="7" t="s">
        <v>351</v>
      </c>
      <c r="B342" s="11" t="s">
        <v>1128</v>
      </c>
      <c r="C342" s="7">
        <f t="shared" si="20"/>
        <v>5</v>
      </c>
      <c r="D342" s="7" t="str">
        <f t="shared" si="21"/>
        <v>May</v>
      </c>
      <c r="E342" s="7" t="s">
        <v>1353</v>
      </c>
      <c r="F342" s="7" t="str">
        <f t="shared" si="22"/>
        <v>Sari Yuliana</v>
      </c>
      <c r="G342" s="7" t="s">
        <v>1357</v>
      </c>
      <c r="H342" s="7" t="s">
        <v>1367</v>
      </c>
      <c r="I342" s="7">
        <v>2</v>
      </c>
      <c r="J342" s="7" t="str">
        <f>INDEX(Master_Produk!$C$2:$C$11,MATCH(H342,Master_Produk!$A$2:$A$11,0))</f>
        <v>Elektronik</v>
      </c>
      <c r="K342" s="8">
        <f>INDEX(Master_Produk!$E$2:$E$11,MATCH(Data_Transaksi!H342,Master_Produk!$A$2:$A$11,0))</f>
        <v>250000</v>
      </c>
      <c r="L342" s="8">
        <f t="shared" si="23"/>
        <v>500000</v>
      </c>
      <c r="M342" s="8">
        <f>INDEX(Master_Target!$B$2:$M$4, MATCH(J342, Master_Target!$A$2:$A$4, 0), MATCH(TEXT(B342, "[$-421]mmmm"), Master_Target!$B$1:$M$1, 0))</f>
        <v>70000000</v>
      </c>
    </row>
    <row r="343" spans="1:13" x14ac:dyDescent="0.25">
      <c r="A343" s="7" t="s">
        <v>352</v>
      </c>
      <c r="B343" s="11" t="s">
        <v>1128</v>
      </c>
      <c r="C343" s="7">
        <f t="shared" si="20"/>
        <v>5</v>
      </c>
      <c r="D343" s="7" t="str">
        <f t="shared" si="21"/>
        <v>May</v>
      </c>
      <c r="E343" s="7" t="s">
        <v>1352</v>
      </c>
      <c r="F343" s="7" t="str">
        <f t="shared" si="22"/>
        <v>Ahmad Fauzi</v>
      </c>
      <c r="G343" s="7" t="s">
        <v>1357</v>
      </c>
      <c r="H343" s="7" t="s">
        <v>1363</v>
      </c>
      <c r="I343" s="7">
        <v>3</v>
      </c>
      <c r="J343" s="7" t="str">
        <f>INDEX(Master_Produk!$C$2:$C$11,MATCH(H343,Master_Produk!$A$2:$A$11,0))</f>
        <v>Pakaian</v>
      </c>
      <c r="K343" s="8">
        <f>INDEX(Master_Produk!$E$2:$E$11,MATCH(Data_Transaksi!H343,Master_Produk!$A$2:$A$11,0))</f>
        <v>250000</v>
      </c>
      <c r="L343" s="8">
        <f t="shared" si="23"/>
        <v>750000</v>
      </c>
      <c r="M343" s="8">
        <f>INDEX(Master_Target!$B$2:$M$4, MATCH(J343, Master_Target!$A$2:$A$4, 0), MATCH(TEXT(B343, "[$-421]mmmm"), Master_Target!$B$1:$M$1, 0))</f>
        <v>21000000</v>
      </c>
    </row>
    <row r="344" spans="1:13" x14ac:dyDescent="0.25">
      <c r="A344" s="7" t="s">
        <v>353</v>
      </c>
      <c r="B344" s="11" t="s">
        <v>1128</v>
      </c>
      <c r="C344" s="7">
        <f t="shared" si="20"/>
        <v>5</v>
      </c>
      <c r="D344" s="7" t="str">
        <f t="shared" si="21"/>
        <v>May</v>
      </c>
      <c r="E344" s="7" t="s">
        <v>1348</v>
      </c>
      <c r="F344" s="7" t="str">
        <f t="shared" si="22"/>
        <v>Budi Santoso</v>
      </c>
      <c r="G344" s="7" t="s">
        <v>1360</v>
      </c>
      <c r="H344" s="7" t="s">
        <v>1370</v>
      </c>
      <c r="I344" s="7">
        <v>1</v>
      </c>
      <c r="J344" s="7" t="str">
        <f>INDEX(Master_Produk!$C$2:$C$11,MATCH(H344,Master_Produk!$A$2:$A$11,0))</f>
        <v>Furnitur</v>
      </c>
      <c r="K344" s="8">
        <f>INDEX(Master_Produk!$E$2:$E$11,MATCH(Data_Transaksi!H344,Master_Produk!$A$2:$A$11,0))</f>
        <v>1200000</v>
      </c>
      <c r="L344" s="8">
        <f t="shared" si="23"/>
        <v>1200000</v>
      </c>
      <c r="M344" s="8">
        <f>INDEX(Master_Target!$B$2:$M$4, MATCH(J344, Master_Target!$A$2:$A$4, 0), MATCH(TEXT(B344, "[$-421]mmmm"), Master_Target!$B$1:$M$1, 0))</f>
        <v>28000000</v>
      </c>
    </row>
    <row r="345" spans="1:13" x14ac:dyDescent="0.25">
      <c r="A345" s="7" t="s">
        <v>354</v>
      </c>
      <c r="B345" s="11" t="s">
        <v>1128</v>
      </c>
      <c r="C345" s="7">
        <f t="shared" si="20"/>
        <v>5</v>
      </c>
      <c r="D345" s="7" t="str">
        <f t="shared" si="21"/>
        <v>May</v>
      </c>
      <c r="E345" s="7" t="s">
        <v>1352</v>
      </c>
      <c r="F345" s="7" t="str">
        <f t="shared" si="22"/>
        <v>Ahmad Fauzi</v>
      </c>
      <c r="G345" s="7" t="s">
        <v>1359</v>
      </c>
      <c r="H345" s="7" t="s">
        <v>1365</v>
      </c>
      <c r="I345" s="7">
        <v>2</v>
      </c>
      <c r="J345" s="7" t="str">
        <f>INDEX(Master_Produk!$C$2:$C$11,MATCH(H345,Master_Produk!$A$2:$A$11,0))</f>
        <v>Elektronik</v>
      </c>
      <c r="K345" s="8">
        <f>INDEX(Master_Produk!$E$2:$E$11,MATCH(Data_Transaksi!H345,Master_Produk!$A$2:$A$11,0))</f>
        <v>1800000</v>
      </c>
      <c r="L345" s="8">
        <f t="shared" si="23"/>
        <v>3600000</v>
      </c>
      <c r="M345" s="8">
        <f>INDEX(Master_Target!$B$2:$M$4, MATCH(J345, Master_Target!$A$2:$A$4, 0), MATCH(TEXT(B345, "[$-421]mmmm"), Master_Target!$B$1:$M$1, 0))</f>
        <v>70000000</v>
      </c>
    </row>
    <row r="346" spans="1:13" x14ac:dyDescent="0.25">
      <c r="A346" s="7" t="s">
        <v>355</v>
      </c>
      <c r="B346" s="11" t="s">
        <v>1129</v>
      </c>
      <c r="C346" s="7">
        <f t="shared" si="20"/>
        <v>5</v>
      </c>
      <c r="D346" s="7" t="str">
        <f t="shared" si="21"/>
        <v>May</v>
      </c>
      <c r="E346" s="7" t="s">
        <v>1349</v>
      </c>
      <c r="F346" s="7" t="str">
        <f t="shared" si="22"/>
        <v>Dewi Lestari</v>
      </c>
      <c r="G346" s="7" t="s">
        <v>1361</v>
      </c>
      <c r="H346" s="7" t="s">
        <v>1368</v>
      </c>
      <c r="I346" s="7">
        <v>4</v>
      </c>
      <c r="J346" s="7" t="str">
        <f>INDEX(Master_Produk!$C$2:$C$11,MATCH(H346,Master_Produk!$A$2:$A$11,0))</f>
        <v>Furnitur</v>
      </c>
      <c r="K346" s="8">
        <f>INDEX(Master_Produk!$E$2:$E$11,MATCH(Data_Transaksi!H346,Master_Produk!$A$2:$A$11,0))</f>
        <v>650000</v>
      </c>
      <c r="L346" s="8">
        <f t="shared" si="23"/>
        <v>2600000</v>
      </c>
      <c r="M346" s="8">
        <f>INDEX(Master_Target!$B$2:$M$4, MATCH(J346, Master_Target!$A$2:$A$4, 0), MATCH(TEXT(B346, "[$-421]mmmm"), Master_Target!$B$1:$M$1, 0))</f>
        <v>28000000</v>
      </c>
    </row>
    <row r="347" spans="1:13" x14ac:dyDescent="0.25">
      <c r="A347" s="7" t="s">
        <v>356</v>
      </c>
      <c r="B347" s="11" t="s">
        <v>1129</v>
      </c>
      <c r="C347" s="7">
        <f t="shared" si="20"/>
        <v>5</v>
      </c>
      <c r="D347" s="7" t="str">
        <f t="shared" si="21"/>
        <v>May</v>
      </c>
      <c r="E347" s="7" t="s">
        <v>1347</v>
      </c>
      <c r="F347" s="7" t="str">
        <f t="shared" si="22"/>
        <v>Rina Marlina</v>
      </c>
      <c r="G347" s="7" t="s">
        <v>1361</v>
      </c>
      <c r="H347" s="7" t="s">
        <v>1363</v>
      </c>
      <c r="I347" s="7">
        <v>2</v>
      </c>
      <c r="J347" s="7" t="str">
        <f>INDEX(Master_Produk!$C$2:$C$11,MATCH(H347,Master_Produk!$A$2:$A$11,0))</f>
        <v>Pakaian</v>
      </c>
      <c r="K347" s="8">
        <f>INDEX(Master_Produk!$E$2:$E$11,MATCH(Data_Transaksi!H347,Master_Produk!$A$2:$A$11,0))</f>
        <v>250000</v>
      </c>
      <c r="L347" s="8">
        <f t="shared" si="23"/>
        <v>500000</v>
      </c>
      <c r="M347" s="8">
        <f>INDEX(Master_Target!$B$2:$M$4, MATCH(J347, Master_Target!$A$2:$A$4, 0), MATCH(TEXT(B347, "[$-421]mmmm"), Master_Target!$B$1:$M$1, 0))</f>
        <v>21000000</v>
      </c>
    </row>
    <row r="348" spans="1:13" x14ac:dyDescent="0.25">
      <c r="A348" s="7" t="s">
        <v>357</v>
      </c>
      <c r="B348" s="11" t="s">
        <v>1129</v>
      </c>
      <c r="C348" s="7">
        <f t="shared" si="20"/>
        <v>5</v>
      </c>
      <c r="D348" s="7" t="str">
        <f t="shared" si="21"/>
        <v>May</v>
      </c>
      <c r="E348" s="7" t="s">
        <v>1351</v>
      </c>
      <c r="F348" s="7" t="str">
        <f t="shared" si="22"/>
        <v>Siti Rahma</v>
      </c>
      <c r="G348" s="7" t="s">
        <v>1361</v>
      </c>
      <c r="H348" s="7" t="s">
        <v>1369</v>
      </c>
      <c r="I348" s="7">
        <v>1</v>
      </c>
      <c r="J348" s="7" t="str">
        <f>INDEX(Master_Produk!$C$2:$C$11,MATCH(H348,Master_Produk!$A$2:$A$11,0))</f>
        <v>Elektronik</v>
      </c>
      <c r="K348" s="8">
        <f>INDEX(Master_Produk!$E$2:$E$11,MATCH(Data_Transaksi!H348,Master_Produk!$A$2:$A$11,0))</f>
        <v>4500000</v>
      </c>
      <c r="L348" s="8">
        <f t="shared" si="23"/>
        <v>4500000</v>
      </c>
      <c r="M348" s="8">
        <f>INDEX(Master_Target!$B$2:$M$4, MATCH(J348, Master_Target!$A$2:$A$4, 0), MATCH(TEXT(B348, "[$-421]mmmm"), Master_Target!$B$1:$M$1, 0))</f>
        <v>70000000</v>
      </c>
    </row>
    <row r="349" spans="1:13" x14ac:dyDescent="0.25">
      <c r="A349" s="7" t="s">
        <v>358</v>
      </c>
      <c r="B349" s="11" t="s">
        <v>1130</v>
      </c>
      <c r="C349" s="7">
        <f t="shared" si="20"/>
        <v>5</v>
      </c>
      <c r="D349" s="7" t="str">
        <f t="shared" si="21"/>
        <v>May</v>
      </c>
      <c r="E349" s="7" t="s">
        <v>1349</v>
      </c>
      <c r="F349" s="7" t="str">
        <f t="shared" si="22"/>
        <v>Dewi Lestari</v>
      </c>
      <c r="G349" s="7" t="s">
        <v>1361</v>
      </c>
      <c r="H349" s="7" t="s">
        <v>1363</v>
      </c>
      <c r="I349" s="7">
        <v>1</v>
      </c>
      <c r="J349" s="7" t="str">
        <f>INDEX(Master_Produk!$C$2:$C$11,MATCH(H349,Master_Produk!$A$2:$A$11,0))</f>
        <v>Pakaian</v>
      </c>
      <c r="K349" s="8">
        <f>INDEX(Master_Produk!$E$2:$E$11,MATCH(Data_Transaksi!H349,Master_Produk!$A$2:$A$11,0))</f>
        <v>250000</v>
      </c>
      <c r="L349" s="8">
        <f t="shared" si="23"/>
        <v>250000</v>
      </c>
      <c r="M349" s="8">
        <f>INDEX(Master_Target!$B$2:$M$4, MATCH(J349, Master_Target!$A$2:$A$4, 0), MATCH(TEXT(B349, "[$-421]mmmm"), Master_Target!$B$1:$M$1, 0))</f>
        <v>21000000</v>
      </c>
    </row>
    <row r="350" spans="1:13" x14ac:dyDescent="0.25">
      <c r="A350" s="7" t="s">
        <v>359</v>
      </c>
      <c r="B350" s="11" t="s">
        <v>1130</v>
      </c>
      <c r="C350" s="7">
        <f t="shared" si="20"/>
        <v>5</v>
      </c>
      <c r="D350" s="7" t="str">
        <f t="shared" si="21"/>
        <v>May</v>
      </c>
      <c r="E350" s="7" t="s">
        <v>1347</v>
      </c>
      <c r="F350" s="7" t="str">
        <f t="shared" si="22"/>
        <v>Rina Marlina</v>
      </c>
      <c r="G350" s="7" t="s">
        <v>1359</v>
      </c>
      <c r="H350" s="7" t="s">
        <v>1371</v>
      </c>
      <c r="I350" s="7">
        <v>4</v>
      </c>
      <c r="J350" s="7" t="str">
        <f>INDEX(Master_Produk!$C$2:$C$11,MATCH(H350,Master_Produk!$A$2:$A$11,0))</f>
        <v>Pakaian</v>
      </c>
      <c r="K350" s="8">
        <f>INDEX(Master_Produk!$E$2:$E$11,MATCH(Data_Transaksi!H350,Master_Produk!$A$2:$A$11,0))</f>
        <v>280000</v>
      </c>
      <c r="L350" s="8">
        <f t="shared" si="23"/>
        <v>1120000</v>
      </c>
      <c r="M350" s="8">
        <f>INDEX(Master_Target!$B$2:$M$4, MATCH(J350, Master_Target!$A$2:$A$4, 0), MATCH(TEXT(B350, "[$-421]mmmm"), Master_Target!$B$1:$M$1, 0))</f>
        <v>21000000</v>
      </c>
    </row>
    <row r="351" spans="1:13" x14ac:dyDescent="0.25">
      <c r="A351" s="7" t="s">
        <v>360</v>
      </c>
      <c r="B351" s="11" t="s">
        <v>1131</v>
      </c>
      <c r="C351" s="7">
        <f t="shared" si="20"/>
        <v>5</v>
      </c>
      <c r="D351" s="7" t="str">
        <f t="shared" si="21"/>
        <v>May</v>
      </c>
      <c r="E351" s="7" t="s">
        <v>1347</v>
      </c>
      <c r="F351" s="7" t="str">
        <f t="shared" si="22"/>
        <v>Rina Marlina</v>
      </c>
      <c r="G351" s="7" t="s">
        <v>1361</v>
      </c>
      <c r="H351" s="7" t="s">
        <v>1362</v>
      </c>
      <c r="I351" s="7">
        <v>1</v>
      </c>
      <c r="J351" s="7" t="str">
        <f>INDEX(Master_Produk!$C$2:$C$11,MATCH(H351,Master_Produk!$A$2:$A$11,0))</f>
        <v>Pakaian</v>
      </c>
      <c r="K351" s="8">
        <f>INDEX(Master_Produk!$E$2:$E$11,MATCH(Data_Transaksi!H351,Master_Produk!$A$2:$A$11,0))</f>
        <v>350000</v>
      </c>
      <c r="L351" s="8">
        <f t="shared" si="23"/>
        <v>350000</v>
      </c>
      <c r="M351" s="8">
        <f>INDEX(Master_Target!$B$2:$M$4, MATCH(J351, Master_Target!$A$2:$A$4, 0), MATCH(TEXT(B351, "[$-421]mmmm"), Master_Target!$B$1:$M$1, 0))</f>
        <v>21000000</v>
      </c>
    </row>
    <row r="352" spans="1:13" x14ac:dyDescent="0.25">
      <c r="A352" s="7" t="s">
        <v>361</v>
      </c>
      <c r="B352" s="11" t="s">
        <v>1131</v>
      </c>
      <c r="C352" s="7">
        <f t="shared" si="20"/>
        <v>5</v>
      </c>
      <c r="D352" s="7" t="str">
        <f t="shared" si="21"/>
        <v>May</v>
      </c>
      <c r="E352" s="7" t="s">
        <v>1352</v>
      </c>
      <c r="F352" s="7" t="str">
        <f t="shared" si="22"/>
        <v>Ahmad Fauzi</v>
      </c>
      <c r="G352" s="7" t="s">
        <v>1357</v>
      </c>
      <c r="H352" s="7" t="s">
        <v>1364</v>
      </c>
      <c r="I352" s="7">
        <v>4</v>
      </c>
      <c r="J352" s="7" t="str">
        <f>INDEX(Master_Produk!$C$2:$C$11,MATCH(H352,Master_Produk!$A$2:$A$11,0))</f>
        <v>Furnitur</v>
      </c>
      <c r="K352" s="8">
        <f>INDEX(Master_Produk!$E$2:$E$11,MATCH(Data_Transaksi!H352,Master_Produk!$A$2:$A$11,0))</f>
        <v>950000</v>
      </c>
      <c r="L352" s="8">
        <f t="shared" si="23"/>
        <v>3800000</v>
      </c>
      <c r="M352" s="8">
        <f>INDEX(Master_Target!$B$2:$M$4, MATCH(J352, Master_Target!$A$2:$A$4, 0), MATCH(TEXT(B352, "[$-421]mmmm"), Master_Target!$B$1:$M$1, 0))</f>
        <v>28000000</v>
      </c>
    </row>
    <row r="353" spans="1:13" x14ac:dyDescent="0.25">
      <c r="A353" s="7" t="s">
        <v>362</v>
      </c>
      <c r="B353" s="11" t="s">
        <v>1131</v>
      </c>
      <c r="C353" s="7">
        <f t="shared" si="20"/>
        <v>5</v>
      </c>
      <c r="D353" s="7" t="str">
        <f t="shared" si="21"/>
        <v>May</v>
      </c>
      <c r="E353" s="7" t="s">
        <v>1351</v>
      </c>
      <c r="F353" s="7" t="str">
        <f t="shared" si="22"/>
        <v>Siti Rahma</v>
      </c>
      <c r="G353" s="7" t="s">
        <v>1360</v>
      </c>
      <c r="H353" s="7" t="s">
        <v>1364</v>
      </c>
      <c r="I353" s="7">
        <v>2</v>
      </c>
      <c r="J353" s="7" t="str">
        <f>INDEX(Master_Produk!$C$2:$C$11,MATCH(H353,Master_Produk!$A$2:$A$11,0))</f>
        <v>Furnitur</v>
      </c>
      <c r="K353" s="8">
        <f>INDEX(Master_Produk!$E$2:$E$11,MATCH(Data_Transaksi!H353,Master_Produk!$A$2:$A$11,0))</f>
        <v>950000</v>
      </c>
      <c r="L353" s="8">
        <f t="shared" si="23"/>
        <v>1900000</v>
      </c>
      <c r="M353" s="8">
        <f>INDEX(Master_Target!$B$2:$M$4, MATCH(J353, Master_Target!$A$2:$A$4, 0), MATCH(TEXT(B353, "[$-421]mmmm"), Master_Target!$B$1:$M$1, 0))</f>
        <v>28000000</v>
      </c>
    </row>
    <row r="354" spans="1:13" x14ac:dyDescent="0.25">
      <c r="A354" s="7" t="s">
        <v>363</v>
      </c>
      <c r="B354" s="11" t="s">
        <v>1131</v>
      </c>
      <c r="C354" s="7">
        <f t="shared" si="20"/>
        <v>5</v>
      </c>
      <c r="D354" s="7" t="str">
        <f t="shared" si="21"/>
        <v>May</v>
      </c>
      <c r="E354" s="7" t="s">
        <v>1349</v>
      </c>
      <c r="F354" s="7" t="str">
        <f t="shared" si="22"/>
        <v>Dewi Lestari</v>
      </c>
      <c r="G354" s="7" t="s">
        <v>1358</v>
      </c>
      <c r="H354" s="7" t="s">
        <v>1370</v>
      </c>
      <c r="I354" s="7">
        <v>5</v>
      </c>
      <c r="J354" s="7" t="str">
        <f>INDEX(Master_Produk!$C$2:$C$11,MATCH(H354,Master_Produk!$A$2:$A$11,0))</f>
        <v>Furnitur</v>
      </c>
      <c r="K354" s="8">
        <f>INDEX(Master_Produk!$E$2:$E$11,MATCH(Data_Transaksi!H354,Master_Produk!$A$2:$A$11,0))</f>
        <v>1200000</v>
      </c>
      <c r="L354" s="8">
        <f t="shared" si="23"/>
        <v>6000000</v>
      </c>
      <c r="M354" s="8">
        <f>INDEX(Master_Target!$B$2:$M$4, MATCH(J354, Master_Target!$A$2:$A$4, 0), MATCH(TEXT(B354, "[$-421]mmmm"), Master_Target!$B$1:$M$1, 0))</f>
        <v>28000000</v>
      </c>
    </row>
    <row r="355" spans="1:13" x14ac:dyDescent="0.25">
      <c r="A355" s="7" t="s">
        <v>364</v>
      </c>
      <c r="B355" s="11" t="s">
        <v>1132</v>
      </c>
      <c r="C355" s="7">
        <f t="shared" si="20"/>
        <v>5</v>
      </c>
      <c r="D355" s="7" t="str">
        <f t="shared" si="21"/>
        <v>May</v>
      </c>
      <c r="E355" s="7" t="s">
        <v>1349</v>
      </c>
      <c r="F355" s="7" t="str">
        <f t="shared" si="22"/>
        <v>Dewi Lestari</v>
      </c>
      <c r="G355" s="7" t="s">
        <v>1361</v>
      </c>
      <c r="H355" s="7" t="s">
        <v>1367</v>
      </c>
      <c r="I355" s="7">
        <v>3</v>
      </c>
      <c r="J355" s="7" t="str">
        <f>INDEX(Master_Produk!$C$2:$C$11,MATCH(H355,Master_Produk!$A$2:$A$11,0))</f>
        <v>Elektronik</v>
      </c>
      <c r="K355" s="8">
        <f>INDEX(Master_Produk!$E$2:$E$11,MATCH(Data_Transaksi!H355,Master_Produk!$A$2:$A$11,0))</f>
        <v>250000</v>
      </c>
      <c r="L355" s="8">
        <f t="shared" si="23"/>
        <v>750000</v>
      </c>
      <c r="M355" s="8">
        <f>INDEX(Master_Target!$B$2:$M$4, MATCH(J355, Master_Target!$A$2:$A$4, 0), MATCH(TEXT(B355, "[$-421]mmmm"), Master_Target!$B$1:$M$1, 0))</f>
        <v>70000000</v>
      </c>
    </row>
    <row r="356" spans="1:13" x14ac:dyDescent="0.25">
      <c r="A356" s="7" t="s">
        <v>365</v>
      </c>
      <c r="B356" s="11" t="s">
        <v>1133</v>
      </c>
      <c r="C356" s="7">
        <f t="shared" si="20"/>
        <v>5</v>
      </c>
      <c r="D356" s="7" t="str">
        <f t="shared" si="21"/>
        <v>May</v>
      </c>
      <c r="E356" s="7" t="s">
        <v>1353</v>
      </c>
      <c r="F356" s="7" t="str">
        <f t="shared" si="22"/>
        <v>Sari Yuliana</v>
      </c>
      <c r="G356" s="7" t="s">
        <v>1358</v>
      </c>
      <c r="H356" s="7" t="s">
        <v>1370</v>
      </c>
      <c r="I356" s="7">
        <v>10</v>
      </c>
      <c r="J356" s="7" t="str">
        <f>INDEX(Master_Produk!$C$2:$C$11,MATCH(H356,Master_Produk!$A$2:$A$11,0))</f>
        <v>Furnitur</v>
      </c>
      <c r="K356" s="8">
        <f>INDEX(Master_Produk!$E$2:$E$11,MATCH(Data_Transaksi!H356,Master_Produk!$A$2:$A$11,0))</f>
        <v>1200000</v>
      </c>
      <c r="L356" s="8">
        <f t="shared" si="23"/>
        <v>12000000</v>
      </c>
      <c r="M356" s="8">
        <f>INDEX(Master_Target!$B$2:$M$4, MATCH(J356, Master_Target!$A$2:$A$4, 0), MATCH(TEXT(B356, "[$-421]mmmm"), Master_Target!$B$1:$M$1, 0))</f>
        <v>28000000</v>
      </c>
    </row>
    <row r="357" spans="1:13" x14ac:dyDescent="0.25">
      <c r="A357" s="7" t="s">
        <v>366</v>
      </c>
      <c r="B357" s="11" t="s">
        <v>1133</v>
      </c>
      <c r="C357" s="7">
        <f t="shared" si="20"/>
        <v>5</v>
      </c>
      <c r="D357" s="7" t="str">
        <f t="shared" si="21"/>
        <v>May</v>
      </c>
      <c r="E357" s="7" t="s">
        <v>1350</v>
      </c>
      <c r="F357" s="7" t="str">
        <f t="shared" si="22"/>
        <v>Andi Wijaya</v>
      </c>
      <c r="G357" s="7" t="s">
        <v>1358</v>
      </c>
      <c r="H357" s="7" t="s">
        <v>1367</v>
      </c>
      <c r="I357" s="7">
        <v>1</v>
      </c>
      <c r="J357" s="7" t="str">
        <f>INDEX(Master_Produk!$C$2:$C$11,MATCH(H357,Master_Produk!$A$2:$A$11,0))</f>
        <v>Elektronik</v>
      </c>
      <c r="K357" s="8">
        <f>INDEX(Master_Produk!$E$2:$E$11,MATCH(Data_Transaksi!H357,Master_Produk!$A$2:$A$11,0))</f>
        <v>250000</v>
      </c>
      <c r="L357" s="8">
        <f t="shared" si="23"/>
        <v>250000</v>
      </c>
      <c r="M357" s="8">
        <f>INDEX(Master_Target!$B$2:$M$4, MATCH(J357, Master_Target!$A$2:$A$4, 0), MATCH(TEXT(B357, "[$-421]mmmm"), Master_Target!$B$1:$M$1, 0))</f>
        <v>70000000</v>
      </c>
    </row>
    <row r="358" spans="1:13" x14ac:dyDescent="0.25">
      <c r="A358" s="7" t="s">
        <v>367</v>
      </c>
      <c r="B358" s="11" t="s">
        <v>1133</v>
      </c>
      <c r="C358" s="7">
        <f t="shared" si="20"/>
        <v>5</v>
      </c>
      <c r="D358" s="7" t="str">
        <f t="shared" si="21"/>
        <v>May</v>
      </c>
      <c r="E358" s="7" t="s">
        <v>1356</v>
      </c>
      <c r="F358" s="7" t="str">
        <f t="shared" si="22"/>
        <v>Eko Prasetyo</v>
      </c>
      <c r="G358" s="7" t="s">
        <v>1358</v>
      </c>
      <c r="H358" s="7" t="s">
        <v>1362</v>
      </c>
      <c r="I358" s="7">
        <v>3</v>
      </c>
      <c r="J358" s="7" t="str">
        <f>INDEX(Master_Produk!$C$2:$C$11,MATCH(H358,Master_Produk!$A$2:$A$11,0))</f>
        <v>Pakaian</v>
      </c>
      <c r="K358" s="8">
        <f>INDEX(Master_Produk!$E$2:$E$11,MATCH(Data_Transaksi!H358,Master_Produk!$A$2:$A$11,0))</f>
        <v>350000</v>
      </c>
      <c r="L358" s="8">
        <f t="shared" si="23"/>
        <v>1050000</v>
      </c>
      <c r="M358" s="8">
        <f>INDEX(Master_Target!$B$2:$M$4, MATCH(J358, Master_Target!$A$2:$A$4, 0), MATCH(TEXT(B358, "[$-421]mmmm"), Master_Target!$B$1:$M$1, 0))</f>
        <v>21000000</v>
      </c>
    </row>
    <row r="359" spans="1:13" x14ac:dyDescent="0.25">
      <c r="A359" s="7" t="s">
        <v>368</v>
      </c>
      <c r="B359" s="11" t="s">
        <v>1133</v>
      </c>
      <c r="C359" s="7">
        <f t="shared" si="20"/>
        <v>5</v>
      </c>
      <c r="D359" s="7" t="str">
        <f t="shared" si="21"/>
        <v>May</v>
      </c>
      <c r="E359" s="7" t="s">
        <v>1350</v>
      </c>
      <c r="F359" s="7" t="str">
        <f t="shared" si="22"/>
        <v>Andi Wijaya</v>
      </c>
      <c r="G359" s="7" t="s">
        <v>1357</v>
      </c>
      <c r="H359" s="7" t="s">
        <v>1371</v>
      </c>
      <c r="I359" s="7">
        <v>2</v>
      </c>
      <c r="J359" s="7" t="str">
        <f>INDEX(Master_Produk!$C$2:$C$11,MATCH(H359,Master_Produk!$A$2:$A$11,0))</f>
        <v>Pakaian</v>
      </c>
      <c r="K359" s="8">
        <f>INDEX(Master_Produk!$E$2:$E$11,MATCH(Data_Transaksi!H359,Master_Produk!$A$2:$A$11,0))</f>
        <v>280000</v>
      </c>
      <c r="L359" s="8">
        <f t="shared" si="23"/>
        <v>560000</v>
      </c>
      <c r="M359" s="8">
        <f>INDEX(Master_Target!$B$2:$M$4, MATCH(J359, Master_Target!$A$2:$A$4, 0), MATCH(TEXT(B359, "[$-421]mmmm"), Master_Target!$B$1:$M$1, 0))</f>
        <v>21000000</v>
      </c>
    </row>
    <row r="360" spans="1:13" x14ac:dyDescent="0.25">
      <c r="A360" s="7" t="s">
        <v>369</v>
      </c>
      <c r="B360" s="11" t="s">
        <v>1133</v>
      </c>
      <c r="C360" s="7">
        <f t="shared" si="20"/>
        <v>5</v>
      </c>
      <c r="D360" s="7" t="str">
        <f t="shared" si="21"/>
        <v>May</v>
      </c>
      <c r="E360" s="7" t="s">
        <v>1349</v>
      </c>
      <c r="F360" s="7" t="str">
        <f t="shared" si="22"/>
        <v>Dewi Lestari</v>
      </c>
      <c r="G360" s="7" t="s">
        <v>1361</v>
      </c>
      <c r="H360" s="7" t="s">
        <v>1365</v>
      </c>
      <c r="I360" s="7">
        <v>2</v>
      </c>
      <c r="J360" s="7" t="str">
        <f>INDEX(Master_Produk!$C$2:$C$11,MATCH(H360,Master_Produk!$A$2:$A$11,0))</f>
        <v>Elektronik</v>
      </c>
      <c r="K360" s="8">
        <f>INDEX(Master_Produk!$E$2:$E$11,MATCH(Data_Transaksi!H360,Master_Produk!$A$2:$A$11,0))</f>
        <v>1800000</v>
      </c>
      <c r="L360" s="8">
        <f t="shared" si="23"/>
        <v>3600000</v>
      </c>
      <c r="M360" s="8">
        <f>INDEX(Master_Target!$B$2:$M$4, MATCH(J360, Master_Target!$A$2:$A$4, 0), MATCH(TEXT(B360, "[$-421]mmmm"), Master_Target!$B$1:$M$1, 0))</f>
        <v>70000000</v>
      </c>
    </row>
    <row r="361" spans="1:13" x14ac:dyDescent="0.25">
      <c r="A361" s="7" t="s">
        <v>370</v>
      </c>
      <c r="B361" s="11" t="s">
        <v>1134</v>
      </c>
      <c r="C361" s="7">
        <f t="shared" si="20"/>
        <v>5</v>
      </c>
      <c r="D361" s="7" t="str">
        <f t="shared" si="21"/>
        <v>May</v>
      </c>
      <c r="E361" s="7" t="s">
        <v>1352</v>
      </c>
      <c r="F361" s="7" t="str">
        <f t="shared" si="22"/>
        <v>Ahmad Fauzi</v>
      </c>
      <c r="G361" s="7" t="s">
        <v>1359</v>
      </c>
      <c r="H361" s="7" t="s">
        <v>1368</v>
      </c>
      <c r="I361" s="7">
        <v>2</v>
      </c>
      <c r="J361" s="7" t="str">
        <f>INDEX(Master_Produk!$C$2:$C$11,MATCH(H361,Master_Produk!$A$2:$A$11,0))</f>
        <v>Furnitur</v>
      </c>
      <c r="K361" s="8">
        <f>INDEX(Master_Produk!$E$2:$E$11,MATCH(Data_Transaksi!H361,Master_Produk!$A$2:$A$11,0))</f>
        <v>650000</v>
      </c>
      <c r="L361" s="8">
        <f t="shared" si="23"/>
        <v>1300000</v>
      </c>
      <c r="M361" s="8">
        <f>INDEX(Master_Target!$B$2:$M$4, MATCH(J361, Master_Target!$A$2:$A$4, 0), MATCH(TEXT(B361, "[$-421]mmmm"), Master_Target!$B$1:$M$1, 0))</f>
        <v>28000000</v>
      </c>
    </row>
    <row r="362" spans="1:13" x14ac:dyDescent="0.25">
      <c r="A362" s="7" t="s">
        <v>371</v>
      </c>
      <c r="B362" s="11" t="s">
        <v>1134</v>
      </c>
      <c r="C362" s="7">
        <f t="shared" si="20"/>
        <v>5</v>
      </c>
      <c r="D362" s="7" t="str">
        <f t="shared" si="21"/>
        <v>May</v>
      </c>
      <c r="E362" s="7" t="s">
        <v>1355</v>
      </c>
      <c r="F362" s="7" t="str">
        <f t="shared" si="22"/>
        <v>Bambang H.</v>
      </c>
      <c r="G362" s="7" t="s">
        <v>1357</v>
      </c>
      <c r="H362" s="7" t="s">
        <v>1367</v>
      </c>
      <c r="I362" s="7">
        <v>4</v>
      </c>
      <c r="J362" s="7" t="str">
        <f>INDEX(Master_Produk!$C$2:$C$11,MATCH(H362,Master_Produk!$A$2:$A$11,0))</f>
        <v>Elektronik</v>
      </c>
      <c r="K362" s="8">
        <f>INDEX(Master_Produk!$E$2:$E$11,MATCH(Data_Transaksi!H362,Master_Produk!$A$2:$A$11,0))</f>
        <v>250000</v>
      </c>
      <c r="L362" s="8">
        <f t="shared" si="23"/>
        <v>1000000</v>
      </c>
      <c r="M362" s="8">
        <f>INDEX(Master_Target!$B$2:$M$4, MATCH(J362, Master_Target!$A$2:$A$4, 0), MATCH(TEXT(B362, "[$-421]mmmm"), Master_Target!$B$1:$M$1, 0))</f>
        <v>70000000</v>
      </c>
    </row>
    <row r="363" spans="1:13" x14ac:dyDescent="0.25">
      <c r="A363" s="7" t="s">
        <v>372</v>
      </c>
      <c r="B363" s="11" t="s">
        <v>1134</v>
      </c>
      <c r="C363" s="7">
        <f t="shared" si="20"/>
        <v>5</v>
      </c>
      <c r="D363" s="7" t="str">
        <f t="shared" si="21"/>
        <v>May</v>
      </c>
      <c r="E363" s="7" t="s">
        <v>1349</v>
      </c>
      <c r="F363" s="7" t="str">
        <f t="shared" si="22"/>
        <v>Dewi Lestari</v>
      </c>
      <c r="G363" s="7" t="s">
        <v>1359</v>
      </c>
      <c r="H363" s="7" t="s">
        <v>1368</v>
      </c>
      <c r="I363" s="7">
        <v>10</v>
      </c>
      <c r="J363" s="7" t="str">
        <f>INDEX(Master_Produk!$C$2:$C$11,MATCH(H363,Master_Produk!$A$2:$A$11,0))</f>
        <v>Furnitur</v>
      </c>
      <c r="K363" s="8">
        <f>INDEX(Master_Produk!$E$2:$E$11,MATCH(Data_Transaksi!H363,Master_Produk!$A$2:$A$11,0))</f>
        <v>650000</v>
      </c>
      <c r="L363" s="8">
        <f t="shared" si="23"/>
        <v>6500000</v>
      </c>
      <c r="M363" s="8">
        <f>INDEX(Master_Target!$B$2:$M$4, MATCH(J363, Master_Target!$A$2:$A$4, 0), MATCH(TEXT(B363, "[$-421]mmmm"), Master_Target!$B$1:$M$1, 0))</f>
        <v>28000000</v>
      </c>
    </row>
    <row r="364" spans="1:13" x14ac:dyDescent="0.25">
      <c r="A364" s="7" t="s">
        <v>373</v>
      </c>
      <c r="B364" s="11" t="s">
        <v>1135</v>
      </c>
      <c r="C364" s="7">
        <f t="shared" si="20"/>
        <v>5</v>
      </c>
      <c r="D364" s="7" t="str">
        <f t="shared" si="21"/>
        <v>May</v>
      </c>
      <c r="E364" s="7" t="s">
        <v>1348</v>
      </c>
      <c r="F364" s="7" t="str">
        <f t="shared" si="22"/>
        <v>Budi Santoso</v>
      </c>
      <c r="G364" s="7" t="s">
        <v>1361</v>
      </c>
      <c r="H364" s="7" t="s">
        <v>1364</v>
      </c>
      <c r="I364" s="7">
        <v>3</v>
      </c>
      <c r="J364" s="7" t="str">
        <f>INDEX(Master_Produk!$C$2:$C$11,MATCH(H364,Master_Produk!$A$2:$A$11,0))</f>
        <v>Furnitur</v>
      </c>
      <c r="K364" s="8">
        <f>INDEX(Master_Produk!$E$2:$E$11,MATCH(Data_Transaksi!H364,Master_Produk!$A$2:$A$11,0))</f>
        <v>950000</v>
      </c>
      <c r="L364" s="8">
        <f t="shared" si="23"/>
        <v>2850000</v>
      </c>
      <c r="M364" s="8">
        <f>INDEX(Master_Target!$B$2:$M$4, MATCH(J364, Master_Target!$A$2:$A$4, 0), MATCH(TEXT(B364, "[$-421]mmmm"), Master_Target!$B$1:$M$1, 0))</f>
        <v>28000000</v>
      </c>
    </row>
    <row r="365" spans="1:13" x14ac:dyDescent="0.25">
      <c r="A365" s="7" t="s">
        <v>374</v>
      </c>
      <c r="B365" s="11" t="s">
        <v>1135</v>
      </c>
      <c r="C365" s="7">
        <f t="shared" si="20"/>
        <v>5</v>
      </c>
      <c r="D365" s="7" t="str">
        <f t="shared" si="21"/>
        <v>May</v>
      </c>
      <c r="E365" s="7" t="s">
        <v>1347</v>
      </c>
      <c r="F365" s="7" t="str">
        <f t="shared" si="22"/>
        <v>Rina Marlina</v>
      </c>
      <c r="G365" s="7" t="s">
        <v>1357</v>
      </c>
      <c r="H365" s="7" t="s">
        <v>1364</v>
      </c>
      <c r="I365" s="7">
        <v>2</v>
      </c>
      <c r="J365" s="7" t="str">
        <f>INDEX(Master_Produk!$C$2:$C$11,MATCH(H365,Master_Produk!$A$2:$A$11,0))</f>
        <v>Furnitur</v>
      </c>
      <c r="K365" s="8">
        <f>INDEX(Master_Produk!$E$2:$E$11,MATCH(Data_Transaksi!H365,Master_Produk!$A$2:$A$11,0))</f>
        <v>950000</v>
      </c>
      <c r="L365" s="8">
        <f t="shared" si="23"/>
        <v>1900000</v>
      </c>
      <c r="M365" s="8">
        <f>INDEX(Master_Target!$B$2:$M$4, MATCH(J365, Master_Target!$A$2:$A$4, 0), MATCH(TEXT(B365, "[$-421]mmmm"), Master_Target!$B$1:$M$1, 0))</f>
        <v>28000000</v>
      </c>
    </row>
    <row r="366" spans="1:13" x14ac:dyDescent="0.25">
      <c r="A366" s="7" t="s">
        <v>375</v>
      </c>
      <c r="B366" s="11" t="s">
        <v>1135</v>
      </c>
      <c r="C366" s="7">
        <f t="shared" si="20"/>
        <v>5</v>
      </c>
      <c r="D366" s="7" t="str">
        <f t="shared" si="21"/>
        <v>May</v>
      </c>
      <c r="E366" s="7" t="s">
        <v>1354</v>
      </c>
      <c r="F366" s="7" t="str">
        <f t="shared" si="22"/>
        <v>Mega Utami</v>
      </c>
      <c r="G366" s="7" t="s">
        <v>1358</v>
      </c>
      <c r="H366" s="7" t="s">
        <v>1362</v>
      </c>
      <c r="I366" s="7">
        <v>2</v>
      </c>
      <c r="J366" s="7" t="str">
        <f>INDEX(Master_Produk!$C$2:$C$11,MATCH(H366,Master_Produk!$A$2:$A$11,0))</f>
        <v>Pakaian</v>
      </c>
      <c r="K366" s="8">
        <f>INDEX(Master_Produk!$E$2:$E$11,MATCH(Data_Transaksi!H366,Master_Produk!$A$2:$A$11,0))</f>
        <v>350000</v>
      </c>
      <c r="L366" s="8">
        <f t="shared" si="23"/>
        <v>700000</v>
      </c>
      <c r="M366" s="8">
        <f>INDEX(Master_Target!$B$2:$M$4, MATCH(J366, Master_Target!$A$2:$A$4, 0), MATCH(TEXT(B366, "[$-421]mmmm"), Master_Target!$B$1:$M$1, 0))</f>
        <v>21000000</v>
      </c>
    </row>
    <row r="367" spans="1:13" x14ac:dyDescent="0.25">
      <c r="A367" s="7" t="s">
        <v>376</v>
      </c>
      <c r="B367" s="11" t="s">
        <v>1136</v>
      </c>
      <c r="C367" s="7">
        <f t="shared" si="20"/>
        <v>5</v>
      </c>
      <c r="D367" s="7" t="str">
        <f t="shared" si="21"/>
        <v>May</v>
      </c>
      <c r="E367" s="7" t="s">
        <v>1349</v>
      </c>
      <c r="F367" s="7" t="str">
        <f t="shared" si="22"/>
        <v>Dewi Lestari</v>
      </c>
      <c r="G367" s="7" t="s">
        <v>1357</v>
      </c>
      <c r="H367" s="7" t="s">
        <v>1369</v>
      </c>
      <c r="I367" s="7">
        <v>3</v>
      </c>
      <c r="J367" s="7" t="str">
        <f>INDEX(Master_Produk!$C$2:$C$11,MATCH(H367,Master_Produk!$A$2:$A$11,0))</f>
        <v>Elektronik</v>
      </c>
      <c r="K367" s="8">
        <f>INDEX(Master_Produk!$E$2:$E$11,MATCH(Data_Transaksi!H367,Master_Produk!$A$2:$A$11,0))</f>
        <v>4500000</v>
      </c>
      <c r="L367" s="8">
        <f t="shared" si="23"/>
        <v>13500000</v>
      </c>
      <c r="M367" s="8">
        <f>INDEX(Master_Target!$B$2:$M$4, MATCH(J367, Master_Target!$A$2:$A$4, 0), MATCH(TEXT(B367, "[$-421]mmmm"), Master_Target!$B$1:$M$1, 0))</f>
        <v>70000000</v>
      </c>
    </row>
    <row r="368" spans="1:13" x14ac:dyDescent="0.25">
      <c r="A368" s="7" t="s">
        <v>377</v>
      </c>
      <c r="B368" s="11" t="s">
        <v>1136</v>
      </c>
      <c r="C368" s="7">
        <f t="shared" si="20"/>
        <v>5</v>
      </c>
      <c r="D368" s="7" t="str">
        <f t="shared" si="21"/>
        <v>May</v>
      </c>
      <c r="E368" s="7" t="s">
        <v>1348</v>
      </c>
      <c r="F368" s="7" t="str">
        <f t="shared" si="22"/>
        <v>Budi Santoso</v>
      </c>
      <c r="G368" s="7" t="s">
        <v>1357</v>
      </c>
      <c r="H368" s="7" t="s">
        <v>1368</v>
      </c>
      <c r="I368" s="7">
        <v>1</v>
      </c>
      <c r="J368" s="7" t="str">
        <f>INDEX(Master_Produk!$C$2:$C$11,MATCH(H368,Master_Produk!$A$2:$A$11,0))</f>
        <v>Furnitur</v>
      </c>
      <c r="K368" s="8">
        <f>INDEX(Master_Produk!$E$2:$E$11,MATCH(Data_Transaksi!H368,Master_Produk!$A$2:$A$11,0))</f>
        <v>650000</v>
      </c>
      <c r="L368" s="8">
        <f t="shared" si="23"/>
        <v>650000</v>
      </c>
      <c r="M368" s="8">
        <f>INDEX(Master_Target!$B$2:$M$4, MATCH(J368, Master_Target!$A$2:$A$4, 0), MATCH(TEXT(B368, "[$-421]mmmm"), Master_Target!$B$1:$M$1, 0))</f>
        <v>28000000</v>
      </c>
    </row>
    <row r="369" spans="1:13" x14ac:dyDescent="0.25">
      <c r="A369" s="7" t="s">
        <v>378</v>
      </c>
      <c r="B369" s="11" t="s">
        <v>1136</v>
      </c>
      <c r="C369" s="7">
        <f t="shared" si="20"/>
        <v>5</v>
      </c>
      <c r="D369" s="7" t="str">
        <f t="shared" si="21"/>
        <v>May</v>
      </c>
      <c r="E369" s="7" t="s">
        <v>1348</v>
      </c>
      <c r="F369" s="7" t="str">
        <f t="shared" si="22"/>
        <v>Budi Santoso</v>
      </c>
      <c r="G369" s="7" t="s">
        <v>1361</v>
      </c>
      <c r="H369" s="7" t="s">
        <v>1367</v>
      </c>
      <c r="I369" s="7">
        <v>1</v>
      </c>
      <c r="J369" s="7" t="str">
        <f>INDEX(Master_Produk!$C$2:$C$11,MATCH(H369,Master_Produk!$A$2:$A$11,0))</f>
        <v>Elektronik</v>
      </c>
      <c r="K369" s="8">
        <f>INDEX(Master_Produk!$E$2:$E$11,MATCH(Data_Transaksi!H369,Master_Produk!$A$2:$A$11,0))</f>
        <v>250000</v>
      </c>
      <c r="L369" s="8">
        <f t="shared" si="23"/>
        <v>250000</v>
      </c>
      <c r="M369" s="8">
        <f>INDEX(Master_Target!$B$2:$M$4, MATCH(J369, Master_Target!$A$2:$A$4, 0), MATCH(TEXT(B369, "[$-421]mmmm"), Master_Target!$B$1:$M$1, 0))</f>
        <v>70000000</v>
      </c>
    </row>
    <row r="370" spans="1:13" x14ac:dyDescent="0.25">
      <c r="A370" s="7" t="s">
        <v>379</v>
      </c>
      <c r="B370" s="11" t="s">
        <v>1137</v>
      </c>
      <c r="C370" s="7">
        <f t="shared" si="20"/>
        <v>5</v>
      </c>
      <c r="D370" s="7" t="str">
        <f t="shared" si="21"/>
        <v>May</v>
      </c>
      <c r="E370" s="7" t="s">
        <v>1356</v>
      </c>
      <c r="F370" s="7" t="str">
        <f t="shared" si="22"/>
        <v>Eko Prasetyo</v>
      </c>
      <c r="G370" s="7" t="s">
        <v>1358</v>
      </c>
      <c r="H370" s="7" t="s">
        <v>1368</v>
      </c>
      <c r="I370" s="7">
        <v>1</v>
      </c>
      <c r="J370" s="7" t="str">
        <f>INDEX(Master_Produk!$C$2:$C$11,MATCH(H370,Master_Produk!$A$2:$A$11,0))</f>
        <v>Furnitur</v>
      </c>
      <c r="K370" s="8">
        <f>INDEX(Master_Produk!$E$2:$E$11,MATCH(Data_Transaksi!H370,Master_Produk!$A$2:$A$11,0))</f>
        <v>650000</v>
      </c>
      <c r="L370" s="8">
        <f t="shared" si="23"/>
        <v>650000</v>
      </c>
      <c r="M370" s="8">
        <f>INDEX(Master_Target!$B$2:$M$4, MATCH(J370, Master_Target!$A$2:$A$4, 0), MATCH(TEXT(B370, "[$-421]mmmm"), Master_Target!$B$1:$M$1, 0))</f>
        <v>28000000</v>
      </c>
    </row>
    <row r="371" spans="1:13" x14ac:dyDescent="0.25">
      <c r="A371" s="7" t="s">
        <v>380</v>
      </c>
      <c r="B371" s="11" t="s">
        <v>1137</v>
      </c>
      <c r="C371" s="7">
        <f t="shared" si="20"/>
        <v>5</v>
      </c>
      <c r="D371" s="7" t="str">
        <f t="shared" si="21"/>
        <v>May</v>
      </c>
      <c r="E371" s="7" t="s">
        <v>1351</v>
      </c>
      <c r="F371" s="7" t="str">
        <f t="shared" si="22"/>
        <v>Siti Rahma</v>
      </c>
      <c r="G371" s="7" t="s">
        <v>1358</v>
      </c>
      <c r="H371" s="7" t="s">
        <v>1371</v>
      </c>
      <c r="I371" s="7">
        <v>1</v>
      </c>
      <c r="J371" s="7" t="str">
        <f>INDEX(Master_Produk!$C$2:$C$11,MATCH(H371,Master_Produk!$A$2:$A$11,0))</f>
        <v>Pakaian</v>
      </c>
      <c r="K371" s="8">
        <f>INDEX(Master_Produk!$E$2:$E$11,MATCH(Data_Transaksi!H371,Master_Produk!$A$2:$A$11,0))</f>
        <v>280000</v>
      </c>
      <c r="L371" s="8">
        <f t="shared" si="23"/>
        <v>280000</v>
      </c>
      <c r="M371" s="8">
        <f>INDEX(Master_Target!$B$2:$M$4, MATCH(J371, Master_Target!$A$2:$A$4, 0), MATCH(TEXT(B371, "[$-421]mmmm"), Master_Target!$B$1:$M$1, 0))</f>
        <v>21000000</v>
      </c>
    </row>
    <row r="372" spans="1:13" x14ac:dyDescent="0.25">
      <c r="A372" s="7" t="s">
        <v>381</v>
      </c>
      <c r="B372" s="11" t="s">
        <v>1138</v>
      </c>
      <c r="C372" s="7">
        <f t="shared" si="20"/>
        <v>5</v>
      </c>
      <c r="D372" s="7" t="str">
        <f t="shared" si="21"/>
        <v>May</v>
      </c>
      <c r="E372" s="7" t="s">
        <v>1349</v>
      </c>
      <c r="F372" s="7" t="str">
        <f t="shared" si="22"/>
        <v>Dewi Lestari</v>
      </c>
      <c r="G372" s="7" t="s">
        <v>1360</v>
      </c>
      <c r="H372" s="7" t="s">
        <v>1369</v>
      </c>
      <c r="I372" s="7">
        <v>1</v>
      </c>
      <c r="J372" s="7" t="str">
        <f>INDEX(Master_Produk!$C$2:$C$11,MATCH(H372,Master_Produk!$A$2:$A$11,0))</f>
        <v>Elektronik</v>
      </c>
      <c r="K372" s="8">
        <f>INDEX(Master_Produk!$E$2:$E$11,MATCH(Data_Transaksi!H372,Master_Produk!$A$2:$A$11,0))</f>
        <v>4500000</v>
      </c>
      <c r="L372" s="8">
        <f t="shared" si="23"/>
        <v>4500000</v>
      </c>
      <c r="M372" s="8">
        <f>INDEX(Master_Target!$B$2:$M$4, MATCH(J372, Master_Target!$A$2:$A$4, 0), MATCH(TEXT(B372, "[$-421]mmmm"), Master_Target!$B$1:$M$1, 0))</f>
        <v>70000000</v>
      </c>
    </row>
    <row r="373" spans="1:13" x14ac:dyDescent="0.25">
      <c r="A373" s="7" t="s">
        <v>382</v>
      </c>
      <c r="B373" s="11" t="s">
        <v>1139</v>
      </c>
      <c r="C373" s="7">
        <f t="shared" si="20"/>
        <v>5</v>
      </c>
      <c r="D373" s="7" t="str">
        <f t="shared" si="21"/>
        <v>May</v>
      </c>
      <c r="E373" s="7" t="s">
        <v>1351</v>
      </c>
      <c r="F373" s="7" t="str">
        <f t="shared" si="22"/>
        <v>Siti Rahma</v>
      </c>
      <c r="G373" s="7" t="s">
        <v>1360</v>
      </c>
      <c r="H373" s="7" t="s">
        <v>1362</v>
      </c>
      <c r="I373" s="7">
        <v>1</v>
      </c>
      <c r="J373" s="7" t="str">
        <f>INDEX(Master_Produk!$C$2:$C$11,MATCH(H373,Master_Produk!$A$2:$A$11,0))</f>
        <v>Pakaian</v>
      </c>
      <c r="K373" s="8">
        <f>INDEX(Master_Produk!$E$2:$E$11,MATCH(Data_Transaksi!H373,Master_Produk!$A$2:$A$11,0))</f>
        <v>350000</v>
      </c>
      <c r="L373" s="8">
        <f t="shared" si="23"/>
        <v>350000</v>
      </c>
      <c r="M373" s="8">
        <f>INDEX(Master_Target!$B$2:$M$4, MATCH(J373, Master_Target!$A$2:$A$4, 0), MATCH(TEXT(B373, "[$-421]mmmm"), Master_Target!$B$1:$M$1, 0))</f>
        <v>21000000</v>
      </c>
    </row>
    <row r="374" spans="1:13" x14ac:dyDescent="0.25">
      <c r="A374" s="7" t="s">
        <v>383</v>
      </c>
      <c r="B374" s="11" t="s">
        <v>1139</v>
      </c>
      <c r="C374" s="7">
        <f t="shared" si="20"/>
        <v>5</v>
      </c>
      <c r="D374" s="7" t="str">
        <f t="shared" si="21"/>
        <v>May</v>
      </c>
      <c r="E374" s="7" t="s">
        <v>1355</v>
      </c>
      <c r="F374" s="7" t="str">
        <f t="shared" si="22"/>
        <v>Bambang H.</v>
      </c>
      <c r="G374" s="7" t="s">
        <v>1359</v>
      </c>
      <c r="H374" s="7" t="s">
        <v>1369</v>
      </c>
      <c r="I374" s="7">
        <v>1</v>
      </c>
      <c r="J374" s="7" t="str">
        <f>INDEX(Master_Produk!$C$2:$C$11,MATCH(H374,Master_Produk!$A$2:$A$11,0))</f>
        <v>Elektronik</v>
      </c>
      <c r="K374" s="8">
        <f>INDEX(Master_Produk!$E$2:$E$11,MATCH(Data_Transaksi!H374,Master_Produk!$A$2:$A$11,0))</f>
        <v>4500000</v>
      </c>
      <c r="L374" s="8">
        <f t="shared" si="23"/>
        <v>4500000</v>
      </c>
      <c r="M374" s="8">
        <f>INDEX(Master_Target!$B$2:$M$4, MATCH(J374, Master_Target!$A$2:$A$4, 0), MATCH(TEXT(B374, "[$-421]mmmm"), Master_Target!$B$1:$M$1, 0))</f>
        <v>70000000</v>
      </c>
    </row>
    <row r="375" spans="1:13" x14ac:dyDescent="0.25">
      <c r="A375" s="7" t="s">
        <v>384</v>
      </c>
      <c r="B375" s="11" t="s">
        <v>1140</v>
      </c>
      <c r="C375" s="7">
        <f t="shared" si="20"/>
        <v>5</v>
      </c>
      <c r="D375" s="7" t="str">
        <f t="shared" si="21"/>
        <v>May</v>
      </c>
      <c r="E375" s="7" t="s">
        <v>1352</v>
      </c>
      <c r="F375" s="7" t="str">
        <f t="shared" si="22"/>
        <v>Ahmad Fauzi</v>
      </c>
      <c r="G375" s="7" t="s">
        <v>1360</v>
      </c>
      <c r="H375" s="7" t="s">
        <v>1366</v>
      </c>
      <c r="I375" s="7">
        <v>1</v>
      </c>
      <c r="J375" s="7" t="str">
        <f>INDEX(Master_Produk!$C$2:$C$11,MATCH(H375,Master_Produk!$A$2:$A$11,0))</f>
        <v>Elektronik</v>
      </c>
      <c r="K375" s="8">
        <f>INDEX(Master_Produk!$E$2:$E$11,MATCH(Data_Transaksi!H375,Master_Produk!$A$2:$A$11,0))</f>
        <v>7500000</v>
      </c>
      <c r="L375" s="8">
        <f t="shared" si="23"/>
        <v>7500000</v>
      </c>
      <c r="M375" s="8">
        <f>INDEX(Master_Target!$B$2:$M$4, MATCH(J375, Master_Target!$A$2:$A$4, 0), MATCH(TEXT(B375, "[$-421]mmmm"), Master_Target!$B$1:$M$1, 0))</f>
        <v>70000000</v>
      </c>
    </row>
    <row r="376" spans="1:13" x14ac:dyDescent="0.25">
      <c r="A376" s="7" t="s">
        <v>385</v>
      </c>
      <c r="B376" s="11" t="s">
        <v>1140</v>
      </c>
      <c r="C376" s="7">
        <f t="shared" si="20"/>
        <v>5</v>
      </c>
      <c r="D376" s="7" t="str">
        <f t="shared" si="21"/>
        <v>May</v>
      </c>
      <c r="E376" s="7" t="s">
        <v>1354</v>
      </c>
      <c r="F376" s="7" t="str">
        <f t="shared" si="22"/>
        <v>Mega Utami</v>
      </c>
      <c r="G376" s="7" t="s">
        <v>1361</v>
      </c>
      <c r="H376" s="7" t="s">
        <v>1368</v>
      </c>
      <c r="I376" s="7">
        <v>10</v>
      </c>
      <c r="J376" s="7" t="str">
        <f>INDEX(Master_Produk!$C$2:$C$11,MATCH(H376,Master_Produk!$A$2:$A$11,0))</f>
        <v>Furnitur</v>
      </c>
      <c r="K376" s="8">
        <f>INDEX(Master_Produk!$E$2:$E$11,MATCH(Data_Transaksi!H376,Master_Produk!$A$2:$A$11,0))</f>
        <v>650000</v>
      </c>
      <c r="L376" s="8">
        <f t="shared" si="23"/>
        <v>6500000</v>
      </c>
      <c r="M376" s="8">
        <f>INDEX(Master_Target!$B$2:$M$4, MATCH(J376, Master_Target!$A$2:$A$4, 0), MATCH(TEXT(B376, "[$-421]mmmm"), Master_Target!$B$1:$M$1, 0))</f>
        <v>28000000</v>
      </c>
    </row>
    <row r="377" spans="1:13" x14ac:dyDescent="0.25">
      <c r="A377" s="7" t="s">
        <v>386</v>
      </c>
      <c r="B377" s="11" t="s">
        <v>1141</v>
      </c>
      <c r="C377" s="7">
        <f t="shared" si="20"/>
        <v>5</v>
      </c>
      <c r="D377" s="7" t="str">
        <f t="shared" si="21"/>
        <v>May</v>
      </c>
      <c r="E377" s="7" t="s">
        <v>1352</v>
      </c>
      <c r="F377" s="7" t="str">
        <f t="shared" si="22"/>
        <v>Ahmad Fauzi</v>
      </c>
      <c r="G377" s="7" t="s">
        <v>1357</v>
      </c>
      <c r="H377" s="7" t="s">
        <v>1368</v>
      </c>
      <c r="I377" s="7">
        <v>2</v>
      </c>
      <c r="J377" s="7" t="str">
        <f>INDEX(Master_Produk!$C$2:$C$11,MATCH(H377,Master_Produk!$A$2:$A$11,0))</f>
        <v>Furnitur</v>
      </c>
      <c r="K377" s="8">
        <f>INDEX(Master_Produk!$E$2:$E$11,MATCH(Data_Transaksi!H377,Master_Produk!$A$2:$A$11,0))</f>
        <v>650000</v>
      </c>
      <c r="L377" s="8">
        <f t="shared" si="23"/>
        <v>1300000</v>
      </c>
      <c r="M377" s="8">
        <f>INDEX(Master_Target!$B$2:$M$4, MATCH(J377, Master_Target!$A$2:$A$4, 0), MATCH(TEXT(B377, "[$-421]mmmm"), Master_Target!$B$1:$M$1, 0))</f>
        <v>28000000</v>
      </c>
    </row>
    <row r="378" spans="1:13" x14ac:dyDescent="0.25">
      <c r="A378" s="7" t="s">
        <v>387</v>
      </c>
      <c r="B378" s="11" t="s">
        <v>1141</v>
      </c>
      <c r="C378" s="7">
        <f t="shared" si="20"/>
        <v>5</v>
      </c>
      <c r="D378" s="7" t="str">
        <f t="shared" si="21"/>
        <v>May</v>
      </c>
      <c r="E378" s="7" t="s">
        <v>1348</v>
      </c>
      <c r="F378" s="7" t="str">
        <f t="shared" si="22"/>
        <v>Budi Santoso</v>
      </c>
      <c r="G378" s="7" t="s">
        <v>1358</v>
      </c>
      <c r="H378" s="7" t="s">
        <v>1364</v>
      </c>
      <c r="I378" s="7">
        <v>1</v>
      </c>
      <c r="J378" s="7" t="str">
        <f>INDEX(Master_Produk!$C$2:$C$11,MATCH(H378,Master_Produk!$A$2:$A$11,0))</f>
        <v>Furnitur</v>
      </c>
      <c r="K378" s="8">
        <f>INDEX(Master_Produk!$E$2:$E$11,MATCH(Data_Transaksi!H378,Master_Produk!$A$2:$A$11,0))</f>
        <v>950000</v>
      </c>
      <c r="L378" s="8">
        <f t="shared" si="23"/>
        <v>950000</v>
      </c>
      <c r="M378" s="8">
        <f>INDEX(Master_Target!$B$2:$M$4, MATCH(J378, Master_Target!$A$2:$A$4, 0), MATCH(TEXT(B378, "[$-421]mmmm"), Master_Target!$B$1:$M$1, 0))</f>
        <v>28000000</v>
      </c>
    </row>
    <row r="379" spans="1:13" x14ac:dyDescent="0.25">
      <c r="A379" s="7" t="s">
        <v>388</v>
      </c>
      <c r="B379" s="11" t="s">
        <v>1142</v>
      </c>
      <c r="C379" s="7">
        <f t="shared" si="20"/>
        <v>5</v>
      </c>
      <c r="D379" s="7" t="str">
        <f t="shared" si="21"/>
        <v>May</v>
      </c>
      <c r="E379" s="7" t="s">
        <v>1347</v>
      </c>
      <c r="F379" s="7" t="str">
        <f t="shared" si="22"/>
        <v>Rina Marlina</v>
      </c>
      <c r="G379" s="7" t="s">
        <v>1357</v>
      </c>
      <c r="H379" s="7" t="s">
        <v>1362</v>
      </c>
      <c r="I379" s="7">
        <v>2</v>
      </c>
      <c r="J379" s="7" t="str">
        <f>INDEX(Master_Produk!$C$2:$C$11,MATCH(H379,Master_Produk!$A$2:$A$11,0))</f>
        <v>Pakaian</v>
      </c>
      <c r="K379" s="8">
        <f>INDEX(Master_Produk!$E$2:$E$11,MATCH(Data_Transaksi!H379,Master_Produk!$A$2:$A$11,0))</f>
        <v>350000</v>
      </c>
      <c r="L379" s="8">
        <f t="shared" si="23"/>
        <v>700000</v>
      </c>
      <c r="M379" s="8">
        <f>INDEX(Master_Target!$B$2:$M$4, MATCH(J379, Master_Target!$A$2:$A$4, 0), MATCH(TEXT(B379, "[$-421]mmmm"), Master_Target!$B$1:$M$1, 0))</f>
        <v>21000000</v>
      </c>
    </row>
    <row r="380" spans="1:13" x14ac:dyDescent="0.25">
      <c r="A380" s="7" t="s">
        <v>389</v>
      </c>
      <c r="B380" s="11" t="s">
        <v>1142</v>
      </c>
      <c r="C380" s="7">
        <f t="shared" si="20"/>
        <v>5</v>
      </c>
      <c r="D380" s="7" t="str">
        <f t="shared" si="21"/>
        <v>May</v>
      </c>
      <c r="E380" s="7" t="s">
        <v>1347</v>
      </c>
      <c r="F380" s="7" t="str">
        <f t="shared" si="22"/>
        <v>Rina Marlina</v>
      </c>
      <c r="G380" s="7" t="s">
        <v>1361</v>
      </c>
      <c r="H380" s="7" t="s">
        <v>1368</v>
      </c>
      <c r="I380" s="7">
        <v>1</v>
      </c>
      <c r="J380" s="7" t="str">
        <f>INDEX(Master_Produk!$C$2:$C$11,MATCH(H380,Master_Produk!$A$2:$A$11,0))</f>
        <v>Furnitur</v>
      </c>
      <c r="K380" s="8">
        <f>INDEX(Master_Produk!$E$2:$E$11,MATCH(Data_Transaksi!H380,Master_Produk!$A$2:$A$11,0))</f>
        <v>650000</v>
      </c>
      <c r="L380" s="8">
        <f t="shared" si="23"/>
        <v>650000</v>
      </c>
      <c r="M380" s="8">
        <f>INDEX(Master_Target!$B$2:$M$4, MATCH(J380, Master_Target!$A$2:$A$4, 0), MATCH(TEXT(B380, "[$-421]mmmm"), Master_Target!$B$1:$M$1, 0))</f>
        <v>28000000</v>
      </c>
    </row>
    <row r="381" spans="1:13" x14ac:dyDescent="0.25">
      <c r="A381" s="7" t="s">
        <v>390</v>
      </c>
      <c r="B381" s="11" t="s">
        <v>1143</v>
      </c>
      <c r="C381" s="7">
        <f t="shared" si="20"/>
        <v>5</v>
      </c>
      <c r="D381" s="7" t="str">
        <f t="shared" si="21"/>
        <v>May</v>
      </c>
      <c r="E381" s="7" t="s">
        <v>1351</v>
      </c>
      <c r="F381" s="7" t="str">
        <f t="shared" si="22"/>
        <v>Siti Rahma</v>
      </c>
      <c r="G381" s="7" t="s">
        <v>1357</v>
      </c>
      <c r="H381" s="7" t="s">
        <v>1370</v>
      </c>
      <c r="I381" s="7">
        <v>5</v>
      </c>
      <c r="J381" s="7" t="str">
        <f>INDEX(Master_Produk!$C$2:$C$11,MATCH(H381,Master_Produk!$A$2:$A$11,0))</f>
        <v>Furnitur</v>
      </c>
      <c r="K381" s="8">
        <f>INDEX(Master_Produk!$E$2:$E$11,MATCH(Data_Transaksi!H381,Master_Produk!$A$2:$A$11,0))</f>
        <v>1200000</v>
      </c>
      <c r="L381" s="8">
        <f t="shared" si="23"/>
        <v>6000000</v>
      </c>
      <c r="M381" s="8">
        <f>INDEX(Master_Target!$B$2:$M$4, MATCH(J381, Master_Target!$A$2:$A$4, 0), MATCH(TEXT(B381, "[$-421]mmmm"), Master_Target!$B$1:$M$1, 0))</f>
        <v>28000000</v>
      </c>
    </row>
    <row r="382" spans="1:13" x14ac:dyDescent="0.25">
      <c r="A382" s="7" t="s">
        <v>391</v>
      </c>
      <c r="B382" s="11" t="s">
        <v>1143</v>
      </c>
      <c r="C382" s="7">
        <f t="shared" si="20"/>
        <v>5</v>
      </c>
      <c r="D382" s="7" t="str">
        <f t="shared" si="21"/>
        <v>May</v>
      </c>
      <c r="E382" s="7" t="s">
        <v>1352</v>
      </c>
      <c r="F382" s="7" t="str">
        <f t="shared" si="22"/>
        <v>Ahmad Fauzi</v>
      </c>
      <c r="G382" s="7" t="s">
        <v>1358</v>
      </c>
      <c r="H382" s="7" t="s">
        <v>1370</v>
      </c>
      <c r="I382" s="7">
        <v>3</v>
      </c>
      <c r="J382" s="7" t="str">
        <f>INDEX(Master_Produk!$C$2:$C$11,MATCH(H382,Master_Produk!$A$2:$A$11,0))</f>
        <v>Furnitur</v>
      </c>
      <c r="K382" s="8">
        <f>INDEX(Master_Produk!$E$2:$E$11,MATCH(Data_Transaksi!H382,Master_Produk!$A$2:$A$11,0))</f>
        <v>1200000</v>
      </c>
      <c r="L382" s="8">
        <f t="shared" si="23"/>
        <v>3600000</v>
      </c>
      <c r="M382" s="8">
        <f>INDEX(Master_Target!$B$2:$M$4, MATCH(J382, Master_Target!$A$2:$A$4, 0), MATCH(TEXT(B382, "[$-421]mmmm"), Master_Target!$B$1:$M$1, 0))</f>
        <v>28000000</v>
      </c>
    </row>
    <row r="383" spans="1:13" x14ac:dyDescent="0.25">
      <c r="A383" s="7" t="s">
        <v>392</v>
      </c>
      <c r="B383" s="11" t="s">
        <v>1143</v>
      </c>
      <c r="C383" s="7">
        <f t="shared" si="20"/>
        <v>5</v>
      </c>
      <c r="D383" s="7" t="str">
        <f t="shared" si="21"/>
        <v>May</v>
      </c>
      <c r="E383" s="7" t="s">
        <v>1348</v>
      </c>
      <c r="F383" s="7" t="str">
        <f t="shared" si="22"/>
        <v>Budi Santoso</v>
      </c>
      <c r="G383" s="7" t="s">
        <v>1360</v>
      </c>
      <c r="H383" s="7" t="s">
        <v>1371</v>
      </c>
      <c r="I383" s="7">
        <v>1</v>
      </c>
      <c r="J383" s="7" t="str">
        <f>INDEX(Master_Produk!$C$2:$C$11,MATCH(H383,Master_Produk!$A$2:$A$11,0))</f>
        <v>Pakaian</v>
      </c>
      <c r="K383" s="8">
        <f>INDEX(Master_Produk!$E$2:$E$11,MATCH(Data_Transaksi!H383,Master_Produk!$A$2:$A$11,0))</f>
        <v>280000</v>
      </c>
      <c r="L383" s="8">
        <f t="shared" si="23"/>
        <v>280000</v>
      </c>
      <c r="M383" s="8">
        <f>INDEX(Master_Target!$B$2:$M$4, MATCH(J383, Master_Target!$A$2:$A$4, 0), MATCH(TEXT(B383, "[$-421]mmmm"), Master_Target!$B$1:$M$1, 0))</f>
        <v>21000000</v>
      </c>
    </row>
    <row r="384" spans="1:13" x14ac:dyDescent="0.25">
      <c r="A384" s="7" t="s">
        <v>393</v>
      </c>
      <c r="B384" s="11" t="s">
        <v>1144</v>
      </c>
      <c r="C384" s="7">
        <f t="shared" si="20"/>
        <v>5</v>
      </c>
      <c r="D384" s="7" t="str">
        <f t="shared" si="21"/>
        <v>May</v>
      </c>
      <c r="E384" s="7" t="s">
        <v>1356</v>
      </c>
      <c r="F384" s="7" t="str">
        <f t="shared" si="22"/>
        <v>Eko Prasetyo</v>
      </c>
      <c r="G384" s="7" t="s">
        <v>1359</v>
      </c>
      <c r="H384" s="7" t="s">
        <v>1368</v>
      </c>
      <c r="I384" s="7">
        <v>2</v>
      </c>
      <c r="J384" s="7" t="str">
        <f>INDEX(Master_Produk!$C$2:$C$11,MATCH(H384,Master_Produk!$A$2:$A$11,0))</f>
        <v>Furnitur</v>
      </c>
      <c r="K384" s="8">
        <f>INDEX(Master_Produk!$E$2:$E$11,MATCH(Data_Transaksi!H384,Master_Produk!$A$2:$A$11,0))</f>
        <v>650000</v>
      </c>
      <c r="L384" s="8">
        <f t="shared" si="23"/>
        <v>1300000</v>
      </c>
      <c r="M384" s="8">
        <f>INDEX(Master_Target!$B$2:$M$4, MATCH(J384, Master_Target!$A$2:$A$4, 0), MATCH(TEXT(B384, "[$-421]mmmm"), Master_Target!$B$1:$M$1, 0))</f>
        <v>28000000</v>
      </c>
    </row>
    <row r="385" spans="1:13" x14ac:dyDescent="0.25">
      <c r="A385" s="7" t="s">
        <v>394</v>
      </c>
      <c r="B385" s="11" t="s">
        <v>1144</v>
      </c>
      <c r="C385" s="7">
        <f t="shared" si="20"/>
        <v>5</v>
      </c>
      <c r="D385" s="7" t="str">
        <f t="shared" si="21"/>
        <v>May</v>
      </c>
      <c r="E385" s="7" t="s">
        <v>1353</v>
      </c>
      <c r="F385" s="7" t="str">
        <f t="shared" si="22"/>
        <v>Sari Yuliana</v>
      </c>
      <c r="G385" s="7" t="s">
        <v>1358</v>
      </c>
      <c r="H385" s="7" t="s">
        <v>1367</v>
      </c>
      <c r="I385" s="7">
        <v>4</v>
      </c>
      <c r="J385" s="7" t="str">
        <f>INDEX(Master_Produk!$C$2:$C$11,MATCH(H385,Master_Produk!$A$2:$A$11,0))</f>
        <v>Elektronik</v>
      </c>
      <c r="K385" s="8">
        <f>INDEX(Master_Produk!$E$2:$E$11,MATCH(Data_Transaksi!H385,Master_Produk!$A$2:$A$11,0))</f>
        <v>250000</v>
      </c>
      <c r="L385" s="8">
        <f t="shared" si="23"/>
        <v>1000000</v>
      </c>
      <c r="M385" s="8">
        <f>INDEX(Master_Target!$B$2:$M$4, MATCH(J385, Master_Target!$A$2:$A$4, 0), MATCH(TEXT(B385, "[$-421]mmmm"), Master_Target!$B$1:$M$1, 0))</f>
        <v>70000000</v>
      </c>
    </row>
    <row r="386" spans="1:13" x14ac:dyDescent="0.25">
      <c r="A386" s="7" t="s">
        <v>395</v>
      </c>
      <c r="B386" s="11" t="s">
        <v>1144</v>
      </c>
      <c r="C386" s="7">
        <f t="shared" si="20"/>
        <v>5</v>
      </c>
      <c r="D386" s="7" t="str">
        <f t="shared" si="21"/>
        <v>May</v>
      </c>
      <c r="E386" s="7" t="s">
        <v>1352</v>
      </c>
      <c r="F386" s="7" t="str">
        <f t="shared" si="22"/>
        <v>Ahmad Fauzi</v>
      </c>
      <c r="G386" s="7" t="s">
        <v>1358</v>
      </c>
      <c r="H386" s="7" t="s">
        <v>1369</v>
      </c>
      <c r="I386" s="7">
        <v>5</v>
      </c>
      <c r="J386" s="7" t="str">
        <f>INDEX(Master_Produk!$C$2:$C$11,MATCH(H386,Master_Produk!$A$2:$A$11,0))</f>
        <v>Elektronik</v>
      </c>
      <c r="K386" s="8">
        <f>INDEX(Master_Produk!$E$2:$E$11,MATCH(Data_Transaksi!H386,Master_Produk!$A$2:$A$11,0))</f>
        <v>4500000</v>
      </c>
      <c r="L386" s="8">
        <f t="shared" si="23"/>
        <v>22500000</v>
      </c>
      <c r="M386" s="8">
        <f>INDEX(Master_Target!$B$2:$M$4, MATCH(J386, Master_Target!$A$2:$A$4, 0), MATCH(TEXT(B386, "[$-421]mmmm"), Master_Target!$B$1:$M$1, 0))</f>
        <v>70000000</v>
      </c>
    </row>
    <row r="387" spans="1:13" x14ac:dyDescent="0.25">
      <c r="A387" s="7" t="s">
        <v>396</v>
      </c>
      <c r="B387" s="11" t="s">
        <v>1144</v>
      </c>
      <c r="C387" s="7">
        <f t="shared" ref="C387:C450" si="24">MONTH(B387)</f>
        <v>5</v>
      </c>
      <c r="D387" s="7" t="str">
        <f t="shared" ref="D387:D450" si="25">TEXT(B387,"mmm")</f>
        <v>May</v>
      </c>
      <c r="E387" s="7" t="s">
        <v>1351</v>
      </c>
      <c r="F387" s="7" t="str">
        <f t="shared" ref="F387:F450" si="26">TRIM(PROPER(E387))</f>
        <v>Siti Rahma</v>
      </c>
      <c r="G387" s="7" t="s">
        <v>1358</v>
      </c>
      <c r="H387" s="7" t="s">
        <v>1364</v>
      </c>
      <c r="I387" s="7">
        <v>2</v>
      </c>
      <c r="J387" s="7" t="str">
        <f>INDEX(Master_Produk!$C$2:$C$11,MATCH(H387,Master_Produk!$A$2:$A$11,0))</f>
        <v>Furnitur</v>
      </c>
      <c r="K387" s="8">
        <f>INDEX(Master_Produk!$E$2:$E$11,MATCH(Data_Transaksi!H387,Master_Produk!$A$2:$A$11,0))</f>
        <v>950000</v>
      </c>
      <c r="L387" s="8">
        <f t="shared" ref="L387:L450" si="27">I387*K387</f>
        <v>1900000</v>
      </c>
      <c r="M387" s="8">
        <f>INDEX(Master_Target!$B$2:$M$4, MATCH(J387, Master_Target!$A$2:$A$4, 0), MATCH(TEXT(B387, "[$-421]mmmm"), Master_Target!$B$1:$M$1, 0))</f>
        <v>28000000</v>
      </c>
    </row>
    <row r="388" spans="1:13" x14ac:dyDescent="0.25">
      <c r="A388" s="7" t="s">
        <v>397</v>
      </c>
      <c r="B388" s="11" t="s">
        <v>1144</v>
      </c>
      <c r="C388" s="7">
        <f t="shared" si="24"/>
        <v>5</v>
      </c>
      <c r="D388" s="7" t="str">
        <f t="shared" si="25"/>
        <v>May</v>
      </c>
      <c r="E388" s="7" t="s">
        <v>1354</v>
      </c>
      <c r="F388" s="7" t="str">
        <f t="shared" si="26"/>
        <v>Mega Utami</v>
      </c>
      <c r="G388" s="7" t="s">
        <v>1358</v>
      </c>
      <c r="H388" s="7" t="s">
        <v>1362</v>
      </c>
      <c r="I388" s="7">
        <v>2</v>
      </c>
      <c r="J388" s="7" t="str">
        <f>INDEX(Master_Produk!$C$2:$C$11,MATCH(H388,Master_Produk!$A$2:$A$11,0))</f>
        <v>Pakaian</v>
      </c>
      <c r="K388" s="8">
        <f>INDEX(Master_Produk!$E$2:$E$11,MATCH(Data_Transaksi!H388,Master_Produk!$A$2:$A$11,0))</f>
        <v>350000</v>
      </c>
      <c r="L388" s="8">
        <f t="shared" si="27"/>
        <v>700000</v>
      </c>
      <c r="M388" s="8">
        <f>INDEX(Master_Target!$B$2:$M$4, MATCH(J388, Master_Target!$A$2:$A$4, 0), MATCH(TEXT(B388, "[$-421]mmmm"), Master_Target!$B$1:$M$1, 0))</f>
        <v>21000000</v>
      </c>
    </row>
    <row r="389" spans="1:13" x14ac:dyDescent="0.25">
      <c r="A389" s="7" t="s">
        <v>398</v>
      </c>
      <c r="B389" s="11" t="s">
        <v>1144</v>
      </c>
      <c r="C389" s="7">
        <f t="shared" si="24"/>
        <v>5</v>
      </c>
      <c r="D389" s="7" t="str">
        <f t="shared" si="25"/>
        <v>May</v>
      </c>
      <c r="E389" s="7" t="s">
        <v>1351</v>
      </c>
      <c r="F389" s="7" t="str">
        <f t="shared" si="26"/>
        <v>Siti Rahma</v>
      </c>
      <c r="G389" s="7" t="s">
        <v>1361</v>
      </c>
      <c r="H389" s="7" t="s">
        <v>1367</v>
      </c>
      <c r="I389" s="7">
        <v>1</v>
      </c>
      <c r="J389" s="7" t="str">
        <f>INDEX(Master_Produk!$C$2:$C$11,MATCH(H389,Master_Produk!$A$2:$A$11,0))</f>
        <v>Elektronik</v>
      </c>
      <c r="K389" s="8">
        <f>INDEX(Master_Produk!$E$2:$E$11,MATCH(Data_Transaksi!H389,Master_Produk!$A$2:$A$11,0))</f>
        <v>250000</v>
      </c>
      <c r="L389" s="8">
        <f t="shared" si="27"/>
        <v>250000</v>
      </c>
      <c r="M389" s="8">
        <f>INDEX(Master_Target!$B$2:$M$4, MATCH(J389, Master_Target!$A$2:$A$4, 0), MATCH(TEXT(B389, "[$-421]mmmm"), Master_Target!$B$1:$M$1, 0))</f>
        <v>70000000</v>
      </c>
    </row>
    <row r="390" spans="1:13" x14ac:dyDescent="0.25">
      <c r="A390" s="7" t="s">
        <v>399</v>
      </c>
      <c r="B390" s="11" t="s">
        <v>1144</v>
      </c>
      <c r="C390" s="7">
        <f t="shared" si="24"/>
        <v>5</v>
      </c>
      <c r="D390" s="7" t="str">
        <f t="shared" si="25"/>
        <v>May</v>
      </c>
      <c r="E390" s="7" t="s">
        <v>1348</v>
      </c>
      <c r="F390" s="7" t="str">
        <f t="shared" si="26"/>
        <v>Budi Santoso</v>
      </c>
      <c r="G390" s="7" t="s">
        <v>1358</v>
      </c>
      <c r="H390" s="7" t="s">
        <v>1369</v>
      </c>
      <c r="I390" s="7">
        <v>10</v>
      </c>
      <c r="J390" s="7" t="str">
        <f>INDEX(Master_Produk!$C$2:$C$11,MATCH(H390,Master_Produk!$A$2:$A$11,0))</f>
        <v>Elektronik</v>
      </c>
      <c r="K390" s="8">
        <f>INDEX(Master_Produk!$E$2:$E$11,MATCH(Data_Transaksi!H390,Master_Produk!$A$2:$A$11,0))</f>
        <v>4500000</v>
      </c>
      <c r="L390" s="8">
        <f t="shared" si="27"/>
        <v>45000000</v>
      </c>
      <c r="M390" s="8">
        <f>INDEX(Master_Target!$B$2:$M$4, MATCH(J390, Master_Target!$A$2:$A$4, 0), MATCH(TEXT(B390, "[$-421]mmmm"), Master_Target!$B$1:$M$1, 0))</f>
        <v>70000000</v>
      </c>
    </row>
    <row r="391" spans="1:13" x14ac:dyDescent="0.25">
      <c r="A391" s="7" t="s">
        <v>400</v>
      </c>
      <c r="B391" s="11" t="s">
        <v>1145</v>
      </c>
      <c r="C391" s="7">
        <f t="shared" si="24"/>
        <v>5</v>
      </c>
      <c r="D391" s="7" t="str">
        <f t="shared" si="25"/>
        <v>May</v>
      </c>
      <c r="E391" s="7" t="s">
        <v>1349</v>
      </c>
      <c r="F391" s="7" t="str">
        <f t="shared" si="26"/>
        <v>Dewi Lestari</v>
      </c>
      <c r="G391" s="7" t="s">
        <v>1357</v>
      </c>
      <c r="H391" s="7" t="s">
        <v>1368</v>
      </c>
      <c r="I391" s="7">
        <v>1</v>
      </c>
      <c r="J391" s="7" t="str">
        <f>INDEX(Master_Produk!$C$2:$C$11,MATCH(H391,Master_Produk!$A$2:$A$11,0))</f>
        <v>Furnitur</v>
      </c>
      <c r="K391" s="8">
        <f>INDEX(Master_Produk!$E$2:$E$11,MATCH(Data_Transaksi!H391,Master_Produk!$A$2:$A$11,0))</f>
        <v>650000</v>
      </c>
      <c r="L391" s="8">
        <f t="shared" si="27"/>
        <v>650000</v>
      </c>
      <c r="M391" s="8">
        <f>INDEX(Master_Target!$B$2:$M$4, MATCH(J391, Master_Target!$A$2:$A$4, 0), MATCH(TEXT(B391, "[$-421]mmmm"), Master_Target!$B$1:$M$1, 0))</f>
        <v>28000000</v>
      </c>
    </row>
    <row r="392" spans="1:13" x14ac:dyDescent="0.25">
      <c r="A392" s="7" t="s">
        <v>401</v>
      </c>
      <c r="B392" s="11" t="s">
        <v>1145</v>
      </c>
      <c r="C392" s="7">
        <f t="shared" si="24"/>
        <v>5</v>
      </c>
      <c r="D392" s="7" t="str">
        <f t="shared" si="25"/>
        <v>May</v>
      </c>
      <c r="E392" s="7" t="s">
        <v>1356</v>
      </c>
      <c r="F392" s="7" t="str">
        <f t="shared" si="26"/>
        <v>Eko Prasetyo</v>
      </c>
      <c r="G392" s="7" t="s">
        <v>1361</v>
      </c>
      <c r="H392" s="7" t="s">
        <v>1367</v>
      </c>
      <c r="I392" s="7">
        <v>5</v>
      </c>
      <c r="J392" s="7" t="str">
        <f>INDEX(Master_Produk!$C$2:$C$11,MATCH(H392,Master_Produk!$A$2:$A$11,0))</f>
        <v>Elektronik</v>
      </c>
      <c r="K392" s="8">
        <f>INDEX(Master_Produk!$E$2:$E$11,MATCH(Data_Transaksi!H392,Master_Produk!$A$2:$A$11,0))</f>
        <v>250000</v>
      </c>
      <c r="L392" s="8">
        <f t="shared" si="27"/>
        <v>1250000</v>
      </c>
      <c r="M392" s="8">
        <f>INDEX(Master_Target!$B$2:$M$4, MATCH(J392, Master_Target!$A$2:$A$4, 0), MATCH(TEXT(B392, "[$-421]mmmm"), Master_Target!$B$1:$M$1, 0))</f>
        <v>70000000</v>
      </c>
    </row>
    <row r="393" spans="1:13" x14ac:dyDescent="0.25">
      <c r="A393" s="7" t="s">
        <v>402</v>
      </c>
      <c r="B393" s="11" t="s">
        <v>1145</v>
      </c>
      <c r="C393" s="7">
        <f t="shared" si="24"/>
        <v>5</v>
      </c>
      <c r="D393" s="7" t="str">
        <f t="shared" si="25"/>
        <v>May</v>
      </c>
      <c r="E393" s="7" t="s">
        <v>1348</v>
      </c>
      <c r="F393" s="7" t="str">
        <f t="shared" si="26"/>
        <v>Budi Santoso</v>
      </c>
      <c r="G393" s="7" t="s">
        <v>1360</v>
      </c>
      <c r="H393" s="7" t="s">
        <v>1366</v>
      </c>
      <c r="I393" s="7">
        <v>2</v>
      </c>
      <c r="J393" s="7" t="str">
        <f>INDEX(Master_Produk!$C$2:$C$11,MATCH(H393,Master_Produk!$A$2:$A$11,0))</f>
        <v>Elektronik</v>
      </c>
      <c r="K393" s="8">
        <f>INDEX(Master_Produk!$E$2:$E$11,MATCH(Data_Transaksi!H393,Master_Produk!$A$2:$A$11,0))</f>
        <v>7500000</v>
      </c>
      <c r="L393" s="8">
        <f t="shared" si="27"/>
        <v>15000000</v>
      </c>
      <c r="M393" s="8">
        <f>INDEX(Master_Target!$B$2:$M$4, MATCH(J393, Master_Target!$A$2:$A$4, 0), MATCH(TEXT(B393, "[$-421]mmmm"), Master_Target!$B$1:$M$1, 0))</f>
        <v>70000000</v>
      </c>
    </row>
    <row r="394" spans="1:13" x14ac:dyDescent="0.25">
      <c r="A394" s="7" t="s">
        <v>403</v>
      </c>
      <c r="B394" s="11" t="s">
        <v>1145</v>
      </c>
      <c r="C394" s="7">
        <f t="shared" si="24"/>
        <v>5</v>
      </c>
      <c r="D394" s="7" t="str">
        <f t="shared" si="25"/>
        <v>May</v>
      </c>
      <c r="E394" s="7" t="s">
        <v>1356</v>
      </c>
      <c r="F394" s="7" t="str">
        <f t="shared" si="26"/>
        <v>Eko Prasetyo</v>
      </c>
      <c r="G394" s="7" t="s">
        <v>1357</v>
      </c>
      <c r="H394" s="7" t="s">
        <v>1367</v>
      </c>
      <c r="I394" s="7">
        <v>2</v>
      </c>
      <c r="J394" s="7" t="str">
        <f>INDEX(Master_Produk!$C$2:$C$11,MATCH(H394,Master_Produk!$A$2:$A$11,0))</f>
        <v>Elektronik</v>
      </c>
      <c r="K394" s="8">
        <f>INDEX(Master_Produk!$E$2:$E$11,MATCH(Data_Transaksi!H394,Master_Produk!$A$2:$A$11,0))</f>
        <v>250000</v>
      </c>
      <c r="L394" s="8">
        <f t="shared" si="27"/>
        <v>500000</v>
      </c>
      <c r="M394" s="8">
        <f>INDEX(Master_Target!$B$2:$M$4, MATCH(J394, Master_Target!$A$2:$A$4, 0), MATCH(TEXT(B394, "[$-421]mmmm"), Master_Target!$B$1:$M$1, 0))</f>
        <v>70000000</v>
      </c>
    </row>
    <row r="395" spans="1:13" x14ac:dyDescent="0.25">
      <c r="A395" s="7" t="s">
        <v>404</v>
      </c>
      <c r="B395" s="11" t="s">
        <v>1145</v>
      </c>
      <c r="C395" s="7">
        <f t="shared" si="24"/>
        <v>5</v>
      </c>
      <c r="D395" s="7" t="str">
        <f t="shared" si="25"/>
        <v>May</v>
      </c>
      <c r="E395" s="7" t="s">
        <v>1350</v>
      </c>
      <c r="F395" s="7" t="str">
        <f t="shared" si="26"/>
        <v>Andi Wijaya</v>
      </c>
      <c r="G395" s="7" t="s">
        <v>1357</v>
      </c>
      <c r="H395" s="7" t="s">
        <v>1370</v>
      </c>
      <c r="I395" s="7">
        <v>2</v>
      </c>
      <c r="J395" s="7" t="str">
        <f>INDEX(Master_Produk!$C$2:$C$11,MATCH(H395,Master_Produk!$A$2:$A$11,0))</f>
        <v>Furnitur</v>
      </c>
      <c r="K395" s="8">
        <f>INDEX(Master_Produk!$E$2:$E$11,MATCH(Data_Transaksi!H395,Master_Produk!$A$2:$A$11,0))</f>
        <v>1200000</v>
      </c>
      <c r="L395" s="8">
        <f t="shared" si="27"/>
        <v>2400000</v>
      </c>
      <c r="M395" s="8">
        <f>INDEX(Master_Target!$B$2:$M$4, MATCH(J395, Master_Target!$A$2:$A$4, 0), MATCH(TEXT(B395, "[$-421]mmmm"), Master_Target!$B$1:$M$1, 0))</f>
        <v>28000000</v>
      </c>
    </row>
    <row r="396" spans="1:13" x14ac:dyDescent="0.25">
      <c r="A396" s="7" t="s">
        <v>405</v>
      </c>
      <c r="B396" s="11" t="s">
        <v>1146</v>
      </c>
      <c r="C396" s="7">
        <f t="shared" si="24"/>
        <v>5</v>
      </c>
      <c r="D396" s="7" t="str">
        <f t="shared" si="25"/>
        <v>May</v>
      </c>
      <c r="E396" s="7" t="s">
        <v>1350</v>
      </c>
      <c r="F396" s="7" t="str">
        <f t="shared" si="26"/>
        <v>Andi Wijaya</v>
      </c>
      <c r="G396" s="7" t="s">
        <v>1357</v>
      </c>
      <c r="H396" s="7" t="s">
        <v>1368</v>
      </c>
      <c r="I396" s="7">
        <v>1</v>
      </c>
      <c r="J396" s="7" t="str">
        <f>INDEX(Master_Produk!$C$2:$C$11,MATCH(H396,Master_Produk!$A$2:$A$11,0))</f>
        <v>Furnitur</v>
      </c>
      <c r="K396" s="8">
        <f>INDEX(Master_Produk!$E$2:$E$11,MATCH(Data_Transaksi!H396,Master_Produk!$A$2:$A$11,0))</f>
        <v>650000</v>
      </c>
      <c r="L396" s="8">
        <f t="shared" si="27"/>
        <v>650000</v>
      </c>
      <c r="M396" s="8">
        <f>INDEX(Master_Target!$B$2:$M$4, MATCH(J396, Master_Target!$A$2:$A$4, 0), MATCH(TEXT(B396, "[$-421]mmmm"), Master_Target!$B$1:$M$1, 0))</f>
        <v>28000000</v>
      </c>
    </row>
    <row r="397" spans="1:13" x14ac:dyDescent="0.25">
      <c r="A397" s="7" t="s">
        <v>406</v>
      </c>
      <c r="B397" s="11" t="s">
        <v>1146</v>
      </c>
      <c r="C397" s="7">
        <f t="shared" si="24"/>
        <v>5</v>
      </c>
      <c r="D397" s="7" t="str">
        <f t="shared" si="25"/>
        <v>May</v>
      </c>
      <c r="E397" s="7" t="s">
        <v>1347</v>
      </c>
      <c r="F397" s="7" t="str">
        <f t="shared" si="26"/>
        <v>Rina Marlina</v>
      </c>
      <c r="G397" s="7" t="s">
        <v>1357</v>
      </c>
      <c r="H397" s="7" t="s">
        <v>1365</v>
      </c>
      <c r="I397" s="7">
        <v>1</v>
      </c>
      <c r="J397" s="7" t="str">
        <f>INDEX(Master_Produk!$C$2:$C$11,MATCH(H397,Master_Produk!$A$2:$A$11,0))</f>
        <v>Elektronik</v>
      </c>
      <c r="K397" s="8">
        <f>INDEX(Master_Produk!$E$2:$E$11,MATCH(Data_Transaksi!H397,Master_Produk!$A$2:$A$11,0))</f>
        <v>1800000</v>
      </c>
      <c r="L397" s="8">
        <f t="shared" si="27"/>
        <v>1800000</v>
      </c>
      <c r="M397" s="8">
        <f>INDEX(Master_Target!$B$2:$M$4, MATCH(J397, Master_Target!$A$2:$A$4, 0), MATCH(TEXT(B397, "[$-421]mmmm"), Master_Target!$B$1:$M$1, 0))</f>
        <v>70000000</v>
      </c>
    </row>
    <row r="398" spans="1:13" x14ac:dyDescent="0.25">
      <c r="A398" s="7" t="s">
        <v>407</v>
      </c>
      <c r="B398" s="11" t="s">
        <v>1146</v>
      </c>
      <c r="C398" s="7">
        <f t="shared" si="24"/>
        <v>5</v>
      </c>
      <c r="D398" s="7" t="str">
        <f t="shared" si="25"/>
        <v>May</v>
      </c>
      <c r="E398" s="7" t="s">
        <v>1356</v>
      </c>
      <c r="F398" s="7" t="str">
        <f t="shared" si="26"/>
        <v>Eko Prasetyo</v>
      </c>
      <c r="G398" s="7" t="s">
        <v>1361</v>
      </c>
      <c r="H398" s="7" t="s">
        <v>1367</v>
      </c>
      <c r="I398" s="7">
        <v>1</v>
      </c>
      <c r="J398" s="7" t="str">
        <f>INDEX(Master_Produk!$C$2:$C$11,MATCH(H398,Master_Produk!$A$2:$A$11,0))</f>
        <v>Elektronik</v>
      </c>
      <c r="K398" s="8">
        <f>INDEX(Master_Produk!$E$2:$E$11,MATCH(Data_Transaksi!H398,Master_Produk!$A$2:$A$11,0))</f>
        <v>250000</v>
      </c>
      <c r="L398" s="8">
        <f t="shared" si="27"/>
        <v>250000</v>
      </c>
      <c r="M398" s="8">
        <f>INDEX(Master_Target!$B$2:$M$4, MATCH(J398, Master_Target!$A$2:$A$4, 0), MATCH(TEXT(B398, "[$-421]mmmm"), Master_Target!$B$1:$M$1, 0))</f>
        <v>70000000</v>
      </c>
    </row>
    <row r="399" spans="1:13" x14ac:dyDescent="0.25">
      <c r="A399" s="7" t="s">
        <v>408</v>
      </c>
      <c r="B399" s="11" t="s">
        <v>1147</v>
      </c>
      <c r="C399" s="7">
        <f t="shared" si="24"/>
        <v>5</v>
      </c>
      <c r="D399" s="7" t="str">
        <f t="shared" si="25"/>
        <v>May</v>
      </c>
      <c r="E399" s="7" t="s">
        <v>1352</v>
      </c>
      <c r="F399" s="7" t="str">
        <f t="shared" si="26"/>
        <v>Ahmad Fauzi</v>
      </c>
      <c r="G399" s="7" t="s">
        <v>1360</v>
      </c>
      <c r="H399" s="7" t="s">
        <v>1362</v>
      </c>
      <c r="I399" s="7">
        <v>1</v>
      </c>
      <c r="J399" s="7" t="str">
        <f>INDEX(Master_Produk!$C$2:$C$11,MATCH(H399,Master_Produk!$A$2:$A$11,0))</f>
        <v>Pakaian</v>
      </c>
      <c r="K399" s="8">
        <f>INDEX(Master_Produk!$E$2:$E$11,MATCH(Data_Transaksi!H399,Master_Produk!$A$2:$A$11,0))</f>
        <v>350000</v>
      </c>
      <c r="L399" s="8">
        <f t="shared" si="27"/>
        <v>350000</v>
      </c>
      <c r="M399" s="8">
        <f>INDEX(Master_Target!$B$2:$M$4, MATCH(J399, Master_Target!$A$2:$A$4, 0), MATCH(TEXT(B399, "[$-421]mmmm"), Master_Target!$B$1:$M$1, 0))</f>
        <v>21000000</v>
      </c>
    </row>
    <row r="400" spans="1:13" x14ac:dyDescent="0.25">
      <c r="A400" s="7" t="s">
        <v>409</v>
      </c>
      <c r="B400" s="11" t="s">
        <v>1147</v>
      </c>
      <c r="C400" s="7">
        <f t="shared" si="24"/>
        <v>5</v>
      </c>
      <c r="D400" s="7" t="str">
        <f t="shared" si="25"/>
        <v>May</v>
      </c>
      <c r="E400" s="7" t="s">
        <v>1354</v>
      </c>
      <c r="F400" s="7" t="str">
        <f t="shared" si="26"/>
        <v>Mega Utami</v>
      </c>
      <c r="G400" s="7" t="s">
        <v>1360</v>
      </c>
      <c r="H400" s="7" t="s">
        <v>1366</v>
      </c>
      <c r="I400" s="7">
        <v>3</v>
      </c>
      <c r="J400" s="7" t="str">
        <f>INDEX(Master_Produk!$C$2:$C$11,MATCH(H400,Master_Produk!$A$2:$A$11,0))</f>
        <v>Elektronik</v>
      </c>
      <c r="K400" s="8">
        <f>INDEX(Master_Produk!$E$2:$E$11,MATCH(Data_Transaksi!H400,Master_Produk!$A$2:$A$11,0))</f>
        <v>7500000</v>
      </c>
      <c r="L400" s="8">
        <f t="shared" si="27"/>
        <v>22500000</v>
      </c>
      <c r="M400" s="8">
        <f>INDEX(Master_Target!$B$2:$M$4, MATCH(J400, Master_Target!$A$2:$A$4, 0), MATCH(TEXT(B400, "[$-421]mmmm"), Master_Target!$B$1:$M$1, 0))</f>
        <v>70000000</v>
      </c>
    </row>
    <row r="401" spans="1:13" x14ac:dyDescent="0.25">
      <c r="A401" s="7" t="s">
        <v>410</v>
      </c>
      <c r="B401" s="11" t="s">
        <v>1147</v>
      </c>
      <c r="C401" s="7">
        <f t="shared" si="24"/>
        <v>5</v>
      </c>
      <c r="D401" s="7" t="str">
        <f t="shared" si="25"/>
        <v>May</v>
      </c>
      <c r="E401" s="7" t="s">
        <v>1353</v>
      </c>
      <c r="F401" s="7" t="str">
        <f t="shared" si="26"/>
        <v>Sari Yuliana</v>
      </c>
      <c r="G401" s="7" t="s">
        <v>1358</v>
      </c>
      <c r="H401" s="7" t="s">
        <v>1368</v>
      </c>
      <c r="I401" s="7">
        <v>1</v>
      </c>
      <c r="J401" s="7" t="str">
        <f>INDEX(Master_Produk!$C$2:$C$11,MATCH(H401,Master_Produk!$A$2:$A$11,0))</f>
        <v>Furnitur</v>
      </c>
      <c r="K401" s="8">
        <f>INDEX(Master_Produk!$E$2:$E$11,MATCH(Data_Transaksi!H401,Master_Produk!$A$2:$A$11,0))</f>
        <v>650000</v>
      </c>
      <c r="L401" s="8">
        <f t="shared" si="27"/>
        <v>650000</v>
      </c>
      <c r="M401" s="8">
        <f>INDEX(Master_Target!$B$2:$M$4, MATCH(J401, Master_Target!$A$2:$A$4, 0), MATCH(TEXT(B401, "[$-421]mmmm"), Master_Target!$B$1:$M$1, 0))</f>
        <v>28000000</v>
      </c>
    </row>
    <row r="402" spans="1:13" x14ac:dyDescent="0.25">
      <c r="A402" s="7" t="s">
        <v>411</v>
      </c>
      <c r="B402" s="11" t="s">
        <v>1147</v>
      </c>
      <c r="C402" s="7">
        <f t="shared" si="24"/>
        <v>5</v>
      </c>
      <c r="D402" s="7" t="str">
        <f t="shared" si="25"/>
        <v>May</v>
      </c>
      <c r="E402" s="7" t="s">
        <v>1351</v>
      </c>
      <c r="F402" s="7" t="str">
        <f t="shared" si="26"/>
        <v>Siti Rahma</v>
      </c>
      <c r="G402" s="7" t="s">
        <v>1359</v>
      </c>
      <c r="H402" s="7" t="s">
        <v>1367</v>
      </c>
      <c r="I402" s="7">
        <v>1</v>
      </c>
      <c r="J402" s="7" t="str">
        <f>INDEX(Master_Produk!$C$2:$C$11,MATCH(H402,Master_Produk!$A$2:$A$11,0))</f>
        <v>Elektronik</v>
      </c>
      <c r="K402" s="8">
        <f>INDEX(Master_Produk!$E$2:$E$11,MATCH(Data_Transaksi!H402,Master_Produk!$A$2:$A$11,0))</f>
        <v>250000</v>
      </c>
      <c r="L402" s="8">
        <f t="shared" si="27"/>
        <v>250000</v>
      </c>
      <c r="M402" s="8">
        <f>INDEX(Master_Target!$B$2:$M$4, MATCH(J402, Master_Target!$A$2:$A$4, 0), MATCH(TEXT(B402, "[$-421]mmmm"), Master_Target!$B$1:$M$1, 0))</f>
        <v>70000000</v>
      </c>
    </row>
    <row r="403" spans="1:13" x14ac:dyDescent="0.25">
      <c r="A403" s="7" t="s">
        <v>412</v>
      </c>
      <c r="B403" s="11" t="s">
        <v>1147</v>
      </c>
      <c r="C403" s="7">
        <f t="shared" si="24"/>
        <v>5</v>
      </c>
      <c r="D403" s="7" t="str">
        <f t="shared" si="25"/>
        <v>May</v>
      </c>
      <c r="E403" s="7" t="s">
        <v>1350</v>
      </c>
      <c r="F403" s="7" t="str">
        <f t="shared" si="26"/>
        <v>Andi Wijaya</v>
      </c>
      <c r="G403" s="7" t="s">
        <v>1361</v>
      </c>
      <c r="H403" s="7" t="s">
        <v>1363</v>
      </c>
      <c r="I403" s="7">
        <v>5</v>
      </c>
      <c r="J403" s="7" t="str">
        <f>INDEX(Master_Produk!$C$2:$C$11,MATCH(H403,Master_Produk!$A$2:$A$11,0))</f>
        <v>Pakaian</v>
      </c>
      <c r="K403" s="8">
        <f>INDEX(Master_Produk!$E$2:$E$11,MATCH(Data_Transaksi!H403,Master_Produk!$A$2:$A$11,0))</f>
        <v>250000</v>
      </c>
      <c r="L403" s="8">
        <f t="shared" si="27"/>
        <v>1250000</v>
      </c>
      <c r="M403" s="8">
        <f>INDEX(Master_Target!$B$2:$M$4, MATCH(J403, Master_Target!$A$2:$A$4, 0), MATCH(TEXT(B403, "[$-421]mmmm"), Master_Target!$B$1:$M$1, 0))</f>
        <v>21000000</v>
      </c>
    </row>
    <row r="404" spans="1:13" x14ac:dyDescent="0.25">
      <c r="A404" s="7" t="s">
        <v>413</v>
      </c>
      <c r="B404" s="11" t="s">
        <v>1147</v>
      </c>
      <c r="C404" s="7">
        <f t="shared" si="24"/>
        <v>5</v>
      </c>
      <c r="D404" s="7" t="str">
        <f t="shared" si="25"/>
        <v>May</v>
      </c>
      <c r="E404" s="7" t="s">
        <v>1351</v>
      </c>
      <c r="F404" s="7" t="str">
        <f t="shared" si="26"/>
        <v>Siti Rahma</v>
      </c>
      <c r="G404" s="7" t="s">
        <v>1360</v>
      </c>
      <c r="H404" s="7" t="s">
        <v>1366</v>
      </c>
      <c r="I404" s="7">
        <v>4</v>
      </c>
      <c r="J404" s="7" t="str">
        <f>INDEX(Master_Produk!$C$2:$C$11,MATCH(H404,Master_Produk!$A$2:$A$11,0))</f>
        <v>Elektronik</v>
      </c>
      <c r="K404" s="8">
        <f>INDEX(Master_Produk!$E$2:$E$11,MATCH(Data_Transaksi!H404,Master_Produk!$A$2:$A$11,0))</f>
        <v>7500000</v>
      </c>
      <c r="L404" s="8">
        <f t="shared" si="27"/>
        <v>30000000</v>
      </c>
      <c r="M404" s="8">
        <f>INDEX(Master_Target!$B$2:$M$4, MATCH(J404, Master_Target!$A$2:$A$4, 0), MATCH(TEXT(B404, "[$-421]mmmm"), Master_Target!$B$1:$M$1, 0))</f>
        <v>70000000</v>
      </c>
    </row>
    <row r="405" spans="1:13" x14ac:dyDescent="0.25">
      <c r="A405" s="7" t="s">
        <v>414</v>
      </c>
      <c r="B405" s="11" t="s">
        <v>1148</v>
      </c>
      <c r="C405" s="7">
        <f t="shared" si="24"/>
        <v>5</v>
      </c>
      <c r="D405" s="7" t="str">
        <f t="shared" si="25"/>
        <v>May</v>
      </c>
      <c r="E405" s="7" t="s">
        <v>1351</v>
      </c>
      <c r="F405" s="7" t="str">
        <f t="shared" si="26"/>
        <v>Siti Rahma</v>
      </c>
      <c r="G405" s="7" t="s">
        <v>1361</v>
      </c>
      <c r="H405" s="7" t="s">
        <v>1365</v>
      </c>
      <c r="I405" s="7">
        <v>4</v>
      </c>
      <c r="J405" s="7" t="str">
        <f>INDEX(Master_Produk!$C$2:$C$11,MATCH(H405,Master_Produk!$A$2:$A$11,0))</f>
        <v>Elektronik</v>
      </c>
      <c r="K405" s="8">
        <f>INDEX(Master_Produk!$E$2:$E$11,MATCH(Data_Transaksi!H405,Master_Produk!$A$2:$A$11,0))</f>
        <v>1800000</v>
      </c>
      <c r="L405" s="8">
        <f t="shared" si="27"/>
        <v>7200000</v>
      </c>
      <c r="M405" s="8">
        <f>INDEX(Master_Target!$B$2:$M$4, MATCH(J405, Master_Target!$A$2:$A$4, 0), MATCH(TEXT(B405, "[$-421]mmmm"), Master_Target!$B$1:$M$1, 0))</f>
        <v>70000000</v>
      </c>
    </row>
    <row r="406" spans="1:13" x14ac:dyDescent="0.25">
      <c r="A406" s="7" t="s">
        <v>415</v>
      </c>
      <c r="B406" s="11" t="s">
        <v>1148</v>
      </c>
      <c r="C406" s="7">
        <f t="shared" si="24"/>
        <v>5</v>
      </c>
      <c r="D406" s="7" t="str">
        <f t="shared" si="25"/>
        <v>May</v>
      </c>
      <c r="E406" s="7" t="s">
        <v>1354</v>
      </c>
      <c r="F406" s="7" t="str">
        <f t="shared" si="26"/>
        <v>Mega Utami</v>
      </c>
      <c r="G406" s="7" t="s">
        <v>1361</v>
      </c>
      <c r="H406" s="7" t="s">
        <v>1363</v>
      </c>
      <c r="I406" s="7">
        <v>10</v>
      </c>
      <c r="J406" s="7" t="str">
        <f>INDEX(Master_Produk!$C$2:$C$11,MATCH(H406,Master_Produk!$A$2:$A$11,0))</f>
        <v>Pakaian</v>
      </c>
      <c r="K406" s="8">
        <f>INDEX(Master_Produk!$E$2:$E$11,MATCH(Data_Transaksi!H406,Master_Produk!$A$2:$A$11,0))</f>
        <v>250000</v>
      </c>
      <c r="L406" s="8">
        <f t="shared" si="27"/>
        <v>2500000</v>
      </c>
      <c r="M406" s="8">
        <f>INDEX(Master_Target!$B$2:$M$4, MATCH(J406, Master_Target!$A$2:$A$4, 0), MATCH(TEXT(B406, "[$-421]mmmm"), Master_Target!$B$1:$M$1, 0))</f>
        <v>21000000</v>
      </c>
    </row>
    <row r="407" spans="1:13" x14ac:dyDescent="0.25">
      <c r="A407" s="7" t="s">
        <v>416</v>
      </c>
      <c r="B407" s="11" t="s">
        <v>1148</v>
      </c>
      <c r="C407" s="7">
        <f t="shared" si="24"/>
        <v>5</v>
      </c>
      <c r="D407" s="7" t="str">
        <f t="shared" si="25"/>
        <v>May</v>
      </c>
      <c r="E407" s="7" t="s">
        <v>1348</v>
      </c>
      <c r="F407" s="7" t="str">
        <f t="shared" si="26"/>
        <v>Budi Santoso</v>
      </c>
      <c r="G407" s="7" t="s">
        <v>1358</v>
      </c>
      <c r="H407" s="7" t="s">
        <v>1366</v>
      </c>
      <c r="I407" s="7">
        <v>1</v>
      </c>
      <c r="J407" s="7" t="str">
        <f>INDEX(Master_Produk!$C$2:$C$11,MATCH(H407,Master_Produk!$A$2:$A$11,0))</f>
        <v>Elektronik</v>
      </c>
      <c r="K407" s="8">
        <f>INDEX(Master_Produk!$E$2:$E$11,MATCH(Data_Transaksi!H407,Master_Produk!$A$2:$A$11,0))</f>
        <v>7500000</v>
      </c>
      <c r="L407" s="8">
        <f t="shared" si="27"/>
        <v>7500000</v>
      </c>
      <c r="M407" s="8">
        <f>INDEX(Master_Target!$B$2:$M$4, MATCH(J407, Master_Target!$A$2:$A$4, 0), MATCH(TEXT(B407, "[$-421]mmmm"), Master_Target!$B$1:$M$1, 0))</f>
        <v>70000000</v>
      </c>
    </row>
    <row r="408" spans="1:13" x14ac:dyDescent="0.25">
      <c r="A408" s="7" t="s">
        <v>417</v>
      </c>
      <c r="B408" s="11" t="s">
        <v>1149</v>
      </c>
      <c r="C408" s="7">
        <f t="shared" si="24"/>
        <v>5</v>
      </c>
      <c r="D408" s="7" t="str">
        <f t="shared" si="25"/>
        <v>May</v>
      </c>
      <c r="E408" s="7" t="s">
        <v>1351</v>
      </c>
      <c r="F408" s="7" t="str">
        <f t="shared" si="26"/>
        <v>Siti Rahma</v>
      </c>
      <c r="G408" s="7" t="s">
        <v>1360</v>
      </c>
      <c r="H408" s="7" t="s">
        <v>1364</v>
      </c>
      <c r="I408" s="7">
        <v>1</v>
      </c>
      <c r="J408" s="7" t="str">
        <f>INDEX(Master_Produk!$C$2:$C$11,MATCH(H408,Master_Produk!$A$2:$A$11,0))</f>
        <v>Furnitur</v>
      </c>
      <c r="K408" s="8">
        <f>INDEX(Master_Produk!$E$2:$E$11,MATCH(Data_Transaksi!H408,Master_Produk!$A$2:$A$11,0))</f>
        <v>950000</v>
      </c>
      <c r="L408" s="8">
        <f t="shared" si="27"/>
        <v>950000</v>
      </c>
      <c r="M408" s="8">
        <f>INDEX(Master_Target!$B$2:$M$4, MATCH(J408, Master_Target!$A$2:$A$4, 0), MATCH(TEXT(B408, "[$-421]mmmm"), Master_Target!$B$1:$M$1, 0))</f>
        <v>28000000</v>
      </c>
    </row>
    <row r="409" spans="1:13" x14ac:dyDescent="0.25">
      <c r="A409" s="7" t="s">
        <v>418</v>
      </c>
      <c r="B409" s="11" t="s">
        <v>1150</v>
      </c>
      <c r="C409" s="7">
        <f t="shared" si="24"/>
        <v>5</v>
      </c>
      <c r="D409" s="7" t="str">
        <f t="shared" si="25"/>
        <v>May</v>
      </c>
      <c r="E409" s="7" t="s">
        <v>1356</v>
      </c>
      <c r="F409" s="7" t="str">
        <f t="shared" si="26"/>
        <v>Eko Prasetyo</v>
      </c>
      <c r="G409" s="7" t="s">
        <v>1359</v>
      </c>
      <c r="H409" s="7" t="s">
        <v>1362</v>
      </c>
      <c r="I409" s="7">
        <v>3</v>
      </c>
      <c r="J409" s="7" t="str">
        <f>INDEX(Master_Produk!$C$2:$C$11,MATCH(H409,Master_Produk!$A$2:$A$11,0))</f>
        <v>Pakaian</v>
      </c>
      <c r="K409" s="8">
        <f>INDEX(Master_Produk!$E$2:$E$11,MATCH(Data_Transaksi!H409,Master_Produk!$A$2:$A$11,0))</f>
        <v>350000</v>
      </c>
      <c r="L409" s="8">
        <f t="shared" si="27"/>
        <v>1050000</v>
      </c>
      <c r="M409" s="8">
        <f>INDEX(Master_Target!$B$2:$M$4, MATCH(J409, Master_Target!$A$2:$A$4, 0), MATCH(TEXT(B409, "[$-421]mmmm"), Master_Target!$B$1:$M$1, 0))</f>
        <v>21000000</v>
      </c>
    </row>
    <row r="410" spans="1:13" x14ac:dyDescent="0.25">
      <c r="A410" s="7" t="s">
        <v>419</v>
      </c>
      <c r="B410" s="11" t="s">
        <v>1150</v>
      </c>
      <c r="C410" s="7">
        <f t="shared" si="24"/>
        <v>5</v>
      </c>
      <c r="D410" s="7" t="str">
        <f t="shared" si="25"/>
        <v>May</v>
      </c>
      <c r="E410" s="7" t="s">
        <v>1354</v>
      </c>
      <c r="F410" s="7" t="str">
        <f t="shared" si="26"/>
        <v>Mega Utami</v>
      </c>
      <c r="G410" s="7" t="s">
        <v>1359</v>
      </c>
      <c r="H410" s="7" t="s">
        <v>1369</v>
      </c>
      <c r="I410" s="7">
        <v>2</v>
      </c>
      <c r="J410" s="7" t="str">
        <f>INDEX(Master_Produk!$C$2:$C$11,MATCH(H410,Master_Produk!$A$2:$A$11,0))</f>
        <v>Elektronik</v>
      </c>
      <c r="K410" s="8">
        <f>INDEX(Master_Produk!$E$2:$E$11,MATCH(Data_Transaksi!H410,Master_Produk!$A$2:$A$11,0))</f>
        <v>4500000</v>
      </c>
      <c r="L410" s="8">
        <f t="shared" si="27"/>
        <v>9000000</v>
      </c>
      <c r="M410" s="8">
        <f>INDEX(Master_Target!$B$2:$M$4, MATCH(J410, Master_Target!$A$2:$A$4, 0), MATCH(TEXT(B410, "[$-421]mmmm"), Master_Target!$B$1:$M$1, 0))</f>
        <v>70000000</v>
      </c>
    </row>
    <row r="411" spans="1:13" x14ac:dyDescent="0.25">
      <c r="A411" s="7" t="s">
        <v>420</v>
      </c>
      <c r="B411" s="11" t="s">
        <v>1150</v>
      </c>
      <c r="C411" s="7">
        <f t="shared" si="24"/>
        <v>5</v>
      </c>
      <c r="D411" s="7" t="str">
        <f t="shared" si="25"/>
        <v>May</v>
      </c>
      <c r="E411" s="7" t="s">
        <v>1350</v>
      </c>
      <c r="F411" s="7" t="str">
        <f t="shared" si="26"/>
        <v>Andi Wijaya</v>
      </c>
      <c r="G411" s="7" t="s">
        <v>1359</v>
      </c>
      <c r="H411" s="7" t="s">
        <v>1366</v>
      </c>
      <c r="I411" s="7">
        <v>1</v>
      </c>
      <c r="J411" s="7" t="str">
        <f>INDEX(Master_Produk!$C$2:$C$11,MATCH(H411,Master_Produk!$A$2:$A$11,0))</f>
        <v>Elektronik</v>
      </c>
      <c r="K411" s="8">
        <f>INDEX(Master_Produk!$E$2:$E$11,MATCH(Data_Transaksi!H411,Master_Produk!$A$2:$A$11,0))</f>
        <v>7500000</v>
      </c>
      <c r="L411" s="8">
        <f t="shared" si="27"/>
        <v>7500000</v>
      </c>
      <c r="M411" s="8">
        <f>INDEX(Master_Target!$B$2:$M$4, MATCH(J411, Master_Target!$A$2:$A$4, 0), MATCH(TEXT(B411, "[$-421]mmmm"), Master_Target!$B$1:$M$1, 0))</f>
        <v>70000000</v>
      </c>
    </row>
    <row r="412" spans="1:13" x14ac:dyDescent="0.25">
      <c r="A412" s="7" t="s">
        <v>421</v>
      </c>
      <c r="B412" s="11" t="s">
        <v>1151</v>
      </c>
      <c r="C412" s="7">
        <f t="shared" si="24"/>
        <v>5</v>
      </c>
      <c r="D412" s="7" t="str">
        <f t="shared" si="25"/>
        <v>May</v>
      </c>
      <c r="E412" s="7" t="s">
        <v>1349</v>
      </c>
      <c r="F412" s="7" t="str">
        <f t="shared" si="26"/>
        <v>Dewi Lestari</v>
      </c>
      <c r="G412" s="7" t="s">
        <v>1357</v>
      </c>
      <c r="H412" s="7" t="s">
        <v>1365</v>
      </c>
      <c r="I412" s="7">
        <v>3</v>
      </c>
      <c r="J412" s="7" t="str">
        <f>INDEX(Master_Produk!$C$2:$C$11,MATCH(H412,Master_Produk!$A$2:$A$11,0))</f>
        <v>Elektronik</v>
      </c>
      <c r="K412" s="8">
        <f>INDEX(Master_Produk!$E$2:$E$11,MATCH(Data_Transaksi!H412,Master_Produk!$A$2:$A$11,0))</f>
        <v>1800000</v>
      </c>
      <c r="L412" s="8">
        <f t="shared" si="27"/>
        <v>5400000</v>
      </c>
      <c r="M412" s="8">
        <f>INDEX(Master_Target!$B$2:$M$4, MATCH(J412, Master_Target!$A$2:$A$4, 0), MATCH(TEXT(B412, "[$-421]mmmm"), Master_Target!$B$1:$M$1, 0))</f>
        <v>70000000</v>
      </c>
    </row>
    <row r="413" spans="1:13" x14ac:dyDescent="0.25">
      <c r="A413" s="7" t="s">
        <v>422</v>
      </c>
      <c r="B413" s="11" t="s">
        <v>1151</v>
      </c>
      <c r="C413" s="7">
        <f t="shared" si="24"/>
        <v>5</v>
      </c>
      <c r="D413" s="7" t="str">
        <f t="shared" si="25"/>
        <v>May</v>
      </c>
      <c r="E413" s="7" t="s">
        <v>1351</v>
      </c>
      <c r="F413" s="7" t="str">
        <f t="shared" si="26"/>
        <v>Siti Rahma</v>
      </c>
      <c r="G413" s="7" t="s">
        <v>1360</v>
      </c>
      <c r="H413" s="7" t="s">
        <v>1371</v>
      </c>
      <c r="I413" s="7">
        <v>1</v>
      </c>
      <c r="J413" s="7" t="str">
        <f>INDEX(Master_Produk!$C$2:$C$11,MATCH(H413,Master_Produk!$A$2:$A$11,0))</f>
        <v>Pakaian</v>
      </c>
      <c r="K413" s="8">
        <f>INDEX(Master_Produk!$E$2:$E$11,MATCH(Data_Transaksi!H413,Master_Produk!$A$2:$A$11,0))</f>
        <v>280000</v>
      </c>
      <c r="L413" s="8">
        <f t="shared" si="27"/>
        <v>280000</v>
      </c>
      <c r="M413" s="8">
        <f>INDEX(Master_Target!$B$2:$M$4, MATCH(J413, Master_Target!$A$2:$A$4, 0), MATCH(TEXT(B413, "[$-421]mmmm"), Master_Target!$B$1:$M$1, 0))</f>
        <v>21000000</v>
      </c>
    </row>
    <row r="414" spans="1:13" x14ac:dyDescent="0.25">
      <c r="A414" s="7" t="s">
        <v>423</v>
      </c>
      <c r="B414" s="11" t="s">
        <v>1151</v>
      </c>
      <c r="C414" s="7">
        <f t="shared" si="24"/>
        <v>5</v>
      </c>
      <c r="D414" s="7" t="str">
        <f t="shared" si="25"/>
        <v>May</v>
      </c>
      <c r="E414" s="7" t="s">
        <v>1347</v>
      </c>
      <c r="F414" s="7" t="str">
        <f t="shared" si="26"/>
        <v>Rina Marlina</v>
      </c>
      <c r="G414" s="7" t="s">
        <v>1357</v>
      </c>
      <c r="H414" s="7" t="s">
        <v>1369</v>
      </c>
      <c r="I414" s="7">
        <v>1</v>
      </c>
      <c r="J414" s="7" t="str">
        <f>INDEX(Master_Produk!$C$2:$C$11,MATCH(H414,Master_Produk!$A$2:$A$11,0))</f>
        <v>Elektronik</v>
      </c>
      <c r="K414" s="8">
        <f>INDEX(Master_Produk!$E$2:$E$11,MATCH(Data_Transaksi!H414,Master_Produk!$A$2:$A$11,0))</f>
        <v>4500000</v>
      </c>
      <c r="L414" s="8">
        <f t="shared" si="27"/>
        <v>4500000</v>
      </c>
      <c r="M414" s="8">
        <f>INDEX(Master_Target!$B$2:$M$4, MATCH(J414, Master_Target!$A$2:$A$4, 0), MATCH(TEXT(B414, "[$-421]mmmm"), Master_Target!$B$1:$M$1, 0))</f>
        <v>70000000</v>
      </c>
    </row>
    <row r="415" spans="1:13" x14ac:dyDescent="0.25">
      <c r="A415" s="7" t="s">
        <v>424</v>
      </c>
      <c r="B415" s="11" t="s">
        <v>1151</v>
      </c>
      <c r="C415" s="7">
        <f t="shared" si="24"/>
        <v>5</v>
      </c>
      <c r="D415" s="7" t="str">
        <f t="shared" si="25"/>
        <v>May</v>
      </c>
      <c r="E415" s="7" t="s">
        <v>1354</v>
      </c>
      <c r="F415" s="7" t="str">
        <f t="shared" si="26"/>
        <v>Mega Utami</v>
      </c>
      <c r="G415" s="7" t="s">
        <v>1357</v>
      </c>
      <c r="H415" s="7" t="s">
        <v>1368</v>
      </c>
      <c r="I415" s="7">
        <v>2</v>
      </c>
      <c r="J415" s="7" t="str">
        <f>INDEX(Master_Produk!$C$2:$C$11,MATCH(H415,Master_Produk!$A$2:$A$11,0))</f>
        <v>Furnitur</v>
      </c>
      <c r="K415" s="8">
        <f>INDEX(Master_Produk!$E$2:$E$11,MATCH(Data_Transaksi!H415,Master_Produk!$A$2:$A$11,0))</f>
        <v>650000</v>
      </c>
      <c r="L415" s="8">
        <f t="shared" si="27"/>
        <v>1300000</v>
      </c>
      <c r="M415" s="8">
        <f>INDEX(Master_Target!$B$2:$M$4, MATCH(J415, Master_Target!$A$2:$A$4, 0), MATCH(TEXT(B415, "[$-421]mmmm"), Master_Target!$B$1:$M$1, 0))</f>
        <v>28000000</v>
      </c>
    </row>
    <row r="416" spans="1:13" x14ac:dyDescent="0.25">
      <c r="A416" s="7" t="s">
        <v>425</v>
      </c>
      <c r="B416" s="11" t="s">
        <v>1151</v>
      </c>
      <c r="C416" s="7">
        <f t="shared" si="24"/>
        <v>5</v>
      </c>
      <c r="D416" s="7" t="str">
        <f t="shared" si="25"/>
        <v>May</v>
      </c>
      <c r="E416" s="7" t="s">
        <v>1348</v>
      </c>
      <c r="F416" s="7" t="str">
        <f t="shared" si="26"/>
        <v>Budi Santoso</v>
      </c>
      <c r="G416" s="7" t="s">
        <v>1357</v>
      </c>
      <c r="H416" s="7" t="s">
        <v>1366</v>
      </c>
      <c r="I416" s="7">
        <v>2</v>
      </c>
      <c r="J416" s="7" t="str">
        <f>INDEX(Master_Produk!$C$2:$C$11,MATCH(H416,Master_Produk!$A$2:$A$11,0))</f>
        <v>Elektronik</v>
      </c>
      <c r="K416" s="8">
        <f>INDEX(Master_Produk!$E$2:$E$11,MATCH(Data_Transaksi!H416,Master_Produk!$A$2:$A$11,0))</f>
        <v>7500000</v>
      </c>
      <c r="L416" s="8">
        <f t="shared" si="27"/>
        <v>15000000</v>
      </c>
      <c r="M416" s="8">
        <f>INDEX(Master_Target!$B$2:$M$4, MATCH(J416, Master_Target!$A$2:$A$4, 0), MATCH(TEXT(B416, "[$-421]mmmm"), Master_Target!$B$1:$M$1, 0))</f>
        <v>70000000</v>
      </c>
    </row>
    <row r="417" spans="1:13" x14ac:dyDescent="0.25">
      <c r="A417" s="7" t="s">
        <v>426</v>
      </c>
      <c r="B417" s="11" t="s">
        <v>1152</v>
      </c>
      <c r="C417" s="7">
        <f t="shared" si="24"/>
        <v>6</v>
      </c>
      <c r="D417" s="7" t="str">
        <f t="shared" si="25"/>
        <v>Jun</v>
      </c>
      <c r="E417" s="7" t="s">
        <v>1355</v>
      </c>
      <c r="F417" s="7" t="str">
        <f t="shared" si="26"/>
        <v>Bambang H.</v>
      </c>
      <c r="G417" s="7" t="s">
        <v>1358</v>
      </c>
      <c r="H417" s="7" t="s">
        <v>1369</v>
      </c>
      <c r="I417" s="7">
        <v>2</v>
      </c>
      <c r="J417" s="7" t="str">
        <f>INDEX(Master_Produk!$C$2:$C$11,MATCH(H417,Master_Produk!$A$2:$A$11,0))</f>
        <v>Elektronik</v>
      </c>
      <c r="K417" s="8">
        <f>INDEX(Master_Produk!$E$2:$E$11,MATCH(Data_Transaksi!H417,Master_Produk!$A$2:$A$11,0))</f>
        <v>4500000</v>
      </c>
      <c r="L417" s="8">
        <f t="shared" si="27"/>
        <v>9000000</v>
      </c>
      <c r="M417" s="8">
        <f>INDEX(Master_Target!$B$2:$M$4, MATCH(J417, Master_Target!$A$2:$A$4, 0), MATCH(TEXT(B417, "[$-421]mmmm"), Master_Target!$B$1:$M$1, 0))</f>
        <v>75000000</v>
      </c>
    </row>
    <row r="418" spans="1:13" x14ac:dyDescent="0.25">
      <c r="A418" s="7" t="s">
        <v>427</v>
      </c>
      <c r="B418" s="11" t="s">
        <v>1152</v>
      </c>
      <c r="C418" s="7">
        <f t="shared" si="24"/>
        <v>6</v>
      </c>
      <c r="D418" s="7" t="str">
        <f t="shared" si="25"/>
        <v>Jun</v>
      </c>
      <c r="E418" s="7" t="s">
        <v>1350</v>
      </c>
      <c r="F418" s="7" t="str">
        <f t="shared" si="26"/>
        <v>Andi Wijaya</v>
      </c>
      <c r="G418" s="7" t="s">
        <v>1358</v>
      </c>
      <c r="H418" s="7" t="s">
        <v>1367</v>
      </c>
      <c r="I418" s="7">
        <v>1</v>
      </c>
      <c r="J418" s="7" t="str">
        <f>INDEX(Master_Produk!$C$2:$C$11,MATCH(H418,Master_Produk!$A$2:$A$11,0))</f>
        <v>Elektronik</v>
      </c>
      <c r="K418" s="8">
        <f>INDEX(Master_Produk!$E$2:$E$11,MATCH(Data_Transaksi!H418,Master_Produk!$A$2:$A$11,0))</f>
        <v>250000</v>
      </c>
      <c r="L418" s="8">
        <f t="shared" si="27"/>
        <v>250000</v>
      </c>
      <c r="M418" s="8">
        <f>INDEX(Master_Target!$B$2:$M$4, MATCH(J418, Master_Target!$A$2:$A$4, 0), MATCH(TEXT(B418, "[$-421]mmmm"), Master_Target!$B$1:$M$1, 0))</f>
        <v>75000000</v>
      </c>
    </row>
    <row r="419" spans="1:13" x14ac:dyDescent="0.25">
      <c r="A419" s="7" t="s">
        <v>428</v>
      </c>
      <c r="B419" s="11" t="s">
        <v>1152</v>
      </c>
      <c r="C419" s="7">
        <f t="shared" si="24"/>
        <v>6</v>
      </c>
      <c r="D419" s="7" t="str">
        <f t="shared" si="25"/>
        <v>Jun</v>
      </c>
      <c r="E419" s="7" t="s">
        <v>1350</v>
      </c>
      <c r="F419" s="7" t="str">
        <f t="shared" si="26"/>
        <v>Andi Wijaya</v>
      </c>
      <c r="G419" s="7" t="s">
        <v>1361</v>
      </c>
      <c r="H419" s="7" t="s">
        <v>1366</v>
      </c>
      <c r="I419" s="7">
        <v>4</v>
      </c>
      <c r="J419" s="7" t="str">
        <f>INDEX(Master_Produk!$C$2:$C$11,MATCH(H419,Master_Produk!$A$2:$A$11,0))</f>
        <v>Elektronik</v>
      </c>
      <c r="K419" s="8">
        <f>INDEX(Master_Produk!$E$2:$E$11,MATCH(Data_Transaksi!H419,Master_Produk!$A$2:$A$11,0))</f>
        <v>7500000</v>
      </c>
      <c r="L419" s="8">
        <f t="shared" si="27"/>
        <v>30000000</v>
      </c>
      <c r="M419" s="8">
        <f>INDEX(Master_Target!$B$2:$M$4, MATCH(J419, Master_Target!$A$2:$A$4, 0), MATCH(TEXT(B419, "[$-421]mmmm"), Master_Target!$B$1:$M$1, 0))</f>
        <v>75000000</v>
      </c>
    </row>
    <row r="420" spans="1:13" x14ac:dyDescent="0.25">
      <c r="A420" s="7" t="s">
        <v>429</v>
      </c>
      <c r="B420" s="11" t="s">
        <v>1152</v>
      </c>
      <c r="C420" s="7">
        <f t="shared" si="24"/>
        <v>6</v>
      </c>
      <c r="D420" s="7" t="str">
        <f t="shared" si="25"/>
        <v>Jun</v>
      </c>
      <c r="E420" s="7" t="s">
        <v>1355</v>
      </c>
      <c r="F420" s="7" t="str">
        <f t="shared" si="26"/>
        <v>Bambang H.</v>
      </c>
      <c r="G420" s="7" t="s">
        <v>1361</v>
      </c>
      <c r="H420" s="7" t="s">
        <v>1363</v>
      </c>
      <c r="I420" s="7">
        <v>1</v>
      </c>
      <c r="J420" s="7" t="str">
        <f>INDEX(Master_Produk!$C$2:$C$11,MATCH(H420,Master_Produk!$A$2:$A$11,0))</f>
        <v>Pakaian</v>
      </c>
      <c r="K420" s="8">
        <f>INDEX(Master_Produk!$E$2:$E$11,MATCH(Data_Transaksi!H420,Master_Produk!$A$2:$A$11,0))</f>
        <v>250000</v>
      </c>
      <c r="L420" s="8">
        <f t="shared" si="27"/>
        <v>250000</v>
      </c>
      <c r="M420" s="8">
        <f>INDEX(Master_Target!$B$2:$M$4, MATCH(J420, Master_Target!$A$2:$A$4, 0), MATCH(TEXT(B420, "[$-421]mmmm"), Master_Target!$B$1:$M$1, 0))</f>
        <v>22500000</v>
      </c>
    </row>
    <row r="421" spans="1:13" x14ac:dyDescent="0.25">
      <c r="A421" s="7" t="s">
        <v>430</v>
      </c>
      <c r="B421" s="11" t="s">
        <v>1152</v>
      </c>
      <c r="C421" s="7">
        <f t="shared" si="24"/>
        <v>6</v>
      </c>
      <c r="D421" s="7" t="str">
        <f t="shared" si="25"/>
        <v>Jun</v>
      </c>
      <c r="E421" s="7" t="s">
        <v>1356</v>
      </c>
      <c r="F421" s="7" t="str">
        <f t="shared" si="26"/>
        <v>Eko Prasetyo</v>
      </c>
      <c r="G421" s="7" t="s">
        <v>1360</v>
      </c>
      <c r="H421" s="7" t="s">
        <v>1365</v>
      </c>
      <c r="I421" s="7">
        <v>1</v>
      </c>
      <c r="J421" s="7" t="str">
        <f>INDEX(Master_Produk!$C$2:$C$11,MATCH(H421,Master_Produk!$A$2:$A$11,0))</f>
        <v>Elektronik</v>
      </c>
      <c r="K421" s="8">
        <f>INDEX(Master_Produk!$E$2:$E$11,MATCH(Data_Transaksi!H421,Master_Produk!$A$2:$A$11,0))</f>
        <v>1800000</v>
      </c>
      <c r="L421" s="8">
        <f t="shared" si="27"/>
        <v>1800000</v>
      </c>
      <c r="M421" s="8">
        <f>INDEX(Master_Target!$B$2:$M$4, MATCH(J421, Master_Target!$A$2:$A$4, 0), MATCH(TEXT(B421, "[$-421]mmmm"), Master_Target!$B$1:$M$1, 0))</f>
        <v>75000000</v>
      </c>
    </row>
    <row r="422" spans="1:13" x14ac:dyDescent="0.25">
      <c r="A422" s="7" t="s">
        <v>431</v>
      </c>
      <c r="B422" s="11" t="s">
        <v>1152</v>
      </c>
      <c r="C422" s="7">
        <f t="shared" si="24"/>
        <v>6</v>
      </c>
      <c r="D422" s="7" t="str">
        <f t="shared" si="25"/>
        <v>Jun</v>
      </c>
      <c r="E422" s="7" t="s">
        <v>1349</v>
      </c>
      <c r="F422" s="7" t="str">
        <f t="shared" si="26"/>
        <v>Dewi Lestari</v>
      </c>
      <c r="G422" s="7" t="s">
        <v>1360</v>
      </c>
      <c r="H422" s="7" t="s">
        <v>1370</v>
      </c>
      <c r="I422" s="7">
        <v>4</v>
      </c>
      <c r="J422" s="7" t="str">
        <f>INDEX(Master_Produk!$C$2:$C$11,MATCH(H422,Master_Produk!$A$2:$A$11,0))</f>
        <v>Furnitur</v>
      </c>
      <c r="K422" s="8">
        <f>INDEX(Master_Produk!$E$2:$E$11,MATCH(Data_Transaksi!H422,Master_Produk!$A$2:$A$11,0))</f>
        <v>1200000</v>
      </c>
      <c r="L422" s="8">
        <f t="shared" si="27"/>
        <v>4800000</v>
      </c>
      <c r="M422" s="8">
        <f>INDEX(Master_Target!$B$2:$M$4, MATCH(J422, Master_Target!$A$2:$A$4, 0), MATCH(TEXT(B422, "[$-421]mmmm"), Master_Target!$B$1:$M$1, 0))</f>
        <v>30000000</v>
      </c>
    </row>
    <row r="423" spans="1:13" x14ac:dyDescent="0.25">
      <c r="A423" s="7" t="s">
        <v>432</v>
      </c>
      <c r="B423" s="11" t="s">
        <v>1153</v>
      </c>
      <c r="C423" s="7">
        <f t="shared" si="24"/>
        <v>6</v>
      </c>
      <c r="D423" s="7" t="str">
        <f t="shared" si="25"/>
        <v>Jun</v>
      </c>
      <c r="E423" s="7" t="s">
        <v>1350</v>
      </c>
      <c r="F423" s="7" t="str">
        <f t="shared" si="26"/>
        <v>Andi Wijaya</v>
      </c>
      <c r="G423" s="7" t="s">
        <v>1358</v>
      </c>
      <c r="H423" s="7" t="s">
        <v>1370</v>
      </c>
      <c r="I423" s="7">
        <v>5</v>
      </c>
      <c r="J423" s="7" t="str">
        <f>INDEX(Master_Produk!$C$2:$C$11,MATCH(H423,Master_Produk!$A$2:$A$11,0))</f>
        <v>Furnitur</v>
      </c>
      <c r="K423" s="8">
        <f>INDEX(Master_Produk!$E$2:$E$11,MATCH(Data_Transaksi!H423,Master_Produk!$A$2:$A$11,0))</f>
        <v>1200000</v>
      </c>
      <c r="L423" s="8">
        <f t="shared" si="27"/>
        <v>6000000</v>
      </c>
      <c r="M423" s="8">
        <f>INDEX(Master_Target!$B$2:$M$4, MATCH(J423, Master_Target!$A$2:$A$4, 0), MATCH(TEXT(B423, "[$-421]mmmm"), Master_Target!$B$1:$M$1, 0))</f>
        <v>30000000</v>
      </c>
    </row>
    <row r="424" spans="1:13" x14ac:dyDescent="0.25">
      <c r="A424" s="7" t="s">
        <v>433</v>
      </c>
      <c r="B424" s="11" t="s">
        <v>1153</v>
      </c>
      <c r="C424" s="7">
        <f t="shared" si="24"/>
        <v>6</v>
      </c>
      <c r="D424" s="7" t="str">
        <f t="shared" si="25"/>
        <v>Jun</v>
      </c>
      <c r="E424" s="7" t="s">
        <v>1350</v>
      </c>
      <c r="F424" s="7" t="str">
        <f t="shared" si="26"/>
        <v>Andi Wijaya</v>
      </c>
      <c r="G424" s="7" t="s">
        <v>1361</v>
      </c>
      <c r="H424" s="7" t="s">
        <v>1365</v>
      </c>
      <c r="I424" s="7">
        <v>4</v>
      </c>
      <c r="J424" s="7" t="str">
        <f>INDEX(Master_Produk!$C$2:$C$11,MATCH(H424,Master_Produk!$A$2:$A$11,0))</f>
        <v>Elektronik</v>
      </c>
      <c r="K424" s="8">
        <f>INDEX(Master_Produk!$E$2:$E$11,MATCH(Data_Transaksi!H424,Master_Produk!$A$2:$A$11,0))</f>
        <v>1800000</v>
      </c>
      <c r="L424" s="8">
        <f t="shared" si="27"/>
        <v>7200000</v>
      </c>
      <c r="M424" s="8">
        <f>INDEX(Master_Target!$B$2:$M$4, MATCH(J424, Master_Target!$A$2:$A$4, 0), MATCH(TEXT(B424, "[$-421]mmmm"), Master_Target!$B$1:$M$1, 0))</f>
        <v>75000000</v>
      </c>
    </row>
    <row r="425" spans="1:13" x14ac:dyDescent="0.25">
      <c r="A425" s="7" t="s">
        <v>434</v>
      </c>
      <c r="B425" s="11" t="s">
        <v>1154</v>
      </c>
      <c r="C425" s="7">
        <f t="shared" si="24"/>
        <v>6</v>
      </c>
      <c r="D425" s="7" t="str">
        <f t="shared" si="25"/>
        <v>Jun</v>
      </c>
      <c r="E425" s="7" t="s">
        <v>1348</v>
      </c>
      <c r="F425" s="7" t="str">
        <f t="shared" si="26"/>
        <v>Budi Santoso</v>
      </c>
      <c r="G425" s="7" t="s">
        <v>1361</v>
      </c>
      <c r="H425" s="7" t="s">
        <v>1371</v>
      </c>
      <c r="I425" s="7">
        <v>3</v>
      </c>
      <c r="J425" s="7" t="str">
        <f>INDEX(Master_Produk!$C$2:$C$11,MATCH(H425,Master_Produk!$A$2:$A$11,0))</f>
        <v>Pakaian</v>
      </c>
      <c r="K425" s="8">
        <f>INDEX(Master_Produk!$E$2:$E$11,MATCH(Data_Transaksi!H425,Master_Produk!$A$2:$A$11,0))</f>
        <v>280000</v>
      </c>
      <c r="L425" s="8">
        <f t="shared" si="27"/>
        <v>840000</v>
      </c>
      <c r="M425" s="8">
        <f>INDEX(Master_Target!$B$2:$M$4, MATCH(J425, Master_Target!$A$2:$A$4, 0), MATCH(TEXT(B425, "[$-421]mmmm"), Master_Target!$B$1:$M$1, 0))</f>
        <v>22500000</v>
      </c>
    </row>
    <row r="426" spans="1:13" x14ac:dyDescent="0.25">
      <c r="A426" s="7" t="s">
        <v>435</v>
      </c>
      <c r="B426" s="11" t="s">
        <v>1154</v>
      </c>
      <c r="C426" s="7">
        <f t="shared" si="24"/>
        <v>6</v>
      </c>
      <c r="D426" s="7" t="str">
        <f t="shared" si="25"/>
        <v>Jun</v>
      </c>
      <c r="E426" s="7" t="s">
        <v>1350</v>
      </c>
      <c r="F426" s="7" t="str">
        <f t="shared" si="26"/>
        <v>Andi Wijaya</v>
      </c>
      <c r="G426" s="7" t="s">
        <v>1357</v>
      </c>
      <c r="H426" s="7" t="s">
        <v>1365</v>
      </c>
      <c r="I426" s="7">
        <v>2</v>
      </c>
      <c r="J426" s="7" t="str">
        <f>INDEX(Master_Produk!$C$2:$C$11,MATCH(H426,Master_Produk!$A$2:$A$11,0))</f>
        <v>Elektronik</v>
      </c>
      <c r="K426" s="8">
        <f>INDEX(Master_Produk!$E$2:$E$11,MATCH(Data_Transaksi!H426,Master_Produk!$A$2:$A$11,0))</f>
        <v>1800000</v>
      </c>
      <c r="L426" s="8">
        <f t="shared" si="27"/>
        <v>3600000</v>
      </c>
      <c r="M426" s="8">
        <f>INDEX(Master_Target!$B$2:$M$4, MATCH(J426, Master_Target!$A$2:$A$4, 0), MATCH(TEXT(B426, "[$-421]mmmm"), Master_Target!$B$1:$M$1, 0))</f>
        <v>75000000</v>
      </c>
    </row>
    <row r="427" spans="1:13" x14ac:dyDescent="0.25">
      <c r="A427" s="7" t="s">
        <v>436</v>
      </c>
      <c r="B427" s="11" t="s">
        <v>1154</v>
      </c>
      <c r="C427" s="7">
        <f t="shared" si="24"/>
        <v>6</v>
      </c>
      <c r="D427" s="7" t="str">
        <f t="shared" si="25"/>
        <v>Jun</v>
      </c>
      <c r="E427" s="7" t="s">
        <v>1354</v>
      </c>
      <c r="F427" s="7" t="str">
        <f t="shared" si="26"/>
        <v>Mega Utami</v>
      </c>
      <c r="G427" s="7" t="s">
        <v>1359</v>
      </c>
      <c r="H427" s="7" t="s">
        <v>1367</v>
      </c>
      <c r="I427" s="7">
        <v>2</v>
      </c>
      <c r="J427" s="7" t="str">
        <f>INDEX(Master_Produk!$C$2:$C$11,MATCH(H427,Master_Produk!$A$2:$A$11,0))</f>
        <v>Elektronik</v>
      </c>
      <c r="K427" s="8">
        <f>INDEX(Master_Produk!$E$2:$E$11,MATCH(Data_Transaksi!H427,Master_Produk!$A$2:$A$11,0))</f>
        <v>250000</v>
      </c>
      <c r="L427" s="8">
        <f t="shared" si="27"/>
        <v>500000</v>
      </c>
      <c r="M427" s="8">
        <f>INDEX(Master_Target!$B$2:$M$4, MATCH(J427, Master_Target!$A$2:$A$4, 0), MATCH(TEXT(B427, "[$-421]mmmm"), Master_Target!$B$1:$M$1, 0))</f>
        <v>75000000</v>
      </c>
    </row>
    <row r="428" spans="1:13" x14ac:dyDescent="0.25">
      <c r="A428" s="7" t="s">
        <v>437</v>
      </c>
      <c r="B428" s="11" t="s">
        <v>1155</v>
      </c>
      <c r="C428" s="7">
        <f t="shared" si="24"/>
        <v>6</v>
      </c>
      <c r="D428" s="7" t="str">
        <f t="shared" si="25"/>
        <v>Jun</v>
      </c>
      <c r="E428" s="7" t="s">
        <v>1356</v>
      </c>
      <c r="F428" s="7" t="str">
        <f t="shared" si="26"/>
        <v>Eko Prasetyo</v>
      </c>
      <c r="G428" s="7" t="s">
        <v>1359</v>
      </c>
      <c r="H428" s="7" t="s">
        <v>1365</v>
      </c>
      <c r="I428" s="7">
        <v>1</v>
      </c>
      <c r="J428" s="7" t="str">
        <f>INDEX(Master_Produk!$C$2:$C$11,MATCH(H428,Master_Produk!$A$2:$A$11,0))</f>
        <v>Elektronik</v>
      </c>
      <c r="K428" s="8">
        <f>INDEX(Master_Produk!$E$2:$E$11,MATCH(Data_Transaksi!H428,Master_Produk!$A$2:$A$11,0))</f>
        <v>1800000</v>
      </c>
      <c r="L428" s="8">
        <f t="shared" si="27"/>
        <v>1800000</v>
      </c>
      <c r="M428" s="8">
        <f>INDEX(Master_Target!$B$2:$M$4, MATCH(J428, Master_Target!$A$2:$A$4, 0), MATCH(TEXT(B428, "[$-421]mmmm"), Master_Target!$B$1:$M$1, 0))</f>
        <v>75000000</v>
      </c>
    </row>
    <row r="429" spans="1:13" x14ac:dyDescent="0.25">
      <c r="A429" s="7" t="s">
        <v>438</v>
      </c>
      <c r="B429" s="11" t="s">
        <v>1155</v>
      </c>
      <c r="C429" s="7">
        <f t="shared" si="24"/>
        <v>6</v>
      </c>
      <c r="D429" s="7" t="str">
        <f t="shared" si="25"/>
        <v>Jun</v>
      </c>
      <c r="E429" s="7" t="s">
        <v>1349</v>
      </c>
      <c r="F429" s="7" t="str">
        <f t="shared" si="26"/>
        <v>Dewi Lestari</v>
      </c>
      <c r="G429" s="7" t="s">
        <v>1359</v>
      </c>
      <c r="H429" s="7" t="s">
        <v>1365</v>
      </c>
      <c r="I429" s="7">
        <v>2</v>
      </c>
      <c r="J429" s="7" t="str">
        <f>INDEX(Master_Produk!$C$2:$C$11,MATCH(H429,Master_Produk!$A$2:$A$11,0))</f>
        <v>Elektronik</v>
      </c>
      <c r="K429" s="8">
        <f>INDEX(Master_Produk!$E$2:$E$11,MATCH(Data_Transaksi!H429,Master_Produk!$A$2:$A$11,0))</f>
        <v>1800000</v>
      </c>
      <c r="L429" s="8">
        <f t="shared" si="27"/>
        <v>3600000</v>
      </c>
      <c r="M429" s="8">
        <f>INDEX(Master_Target!$B$2:$M$4, MATCH(J429, Master_Target!$A$2:$A$4, 0), MATCH(TEXT(B429, "[$-421]mmmm"), Master_Target!$B$1:$M$1, 0))</f>
        <v>75000000</v>
      </c>
    </row>
    <row r="430" spans="1:13" x14ac:dyDescent="0.25">
      <c r="A430" s="7" t="s">
        <v>439</v>
      </c>
      <c r="B430" s="11" t="s">
        <v>1156</v>
      </c>
      <c r="C430" s="7">
        <f t="shared" si="24"/>
        <v>6</v>
      </c>
      <c r="D430" s="7" t="str">
        <f t="shared" si="25"/>
        <v>Jun</v>
      </c>
      <c r="E430" s="7" t="s">
        <v>1347</v>
      </c>
      <c r="F430" s="7" t="str">
        <f t="shared" si="26"/>
        <v>Rina Marlina</v>
      </c>
      <c r="G430" s="7" t="s">
        <v>1358</v>
      </c>
      <c r="H430" s="7" t="s">
        <v>1369</v>
      </c>
      <c r="I430" s="7">
        <v>1</v>
      </c>
      <c r="J430" s="7" t="str">
        <f>INDEX(Master_Produk!$C$2:$C$11,MATCH(H430,Master_Produk!$A$2:$A$11,0))</f>
        <v>Elektronik</v>
      </c>
      <c r="K430" s="8">
        <f>INDEX(Master_Produk!$E$2:$E$11,MATCH(Data_Transaksi!H430,Master_Produk!$A$2:$A$11,0))</f>
        <v>4500000</v>
      </c>
      <c r="L430" s="8">
        <f t="shared" si="27"/>
        <v>4500000</v>
      </c>
      <c r="M430" s="8">
        <f>INDEX(Master_Target!$B$2:$M$4, MATCH(J430, Master_Target!$A$2:$A$4, 0), MATCH(TEXT(B430, "[$-421]mmmm"), Master_Target!$B$1:$M$1, 0))</f>
        <v>75000000</v>
      </c>
    </row>
    <row r="431" spans="1:13" x14ac:dyDescent="0.25">
      <c r="A431" s="7" t="s">
        <v>440</v>
      </c>
      <c r="B431" s="11" t="s">
        <v>1157</v>
      </c>
      <c r="C431" s="7">
        <f t="shared" si="24"/>
        <v>6</v>
      </c>
      <c r="D431" s="7" t="str">
        <f t="shared" si="25"/>
        <v>Jun</v>
      </c>
      <c r="E431" s="7" t="s">
        <v>1349</v>
      </c>
      <c r="F431" s="7" t="str">
        <f t="shared" si="26"/>
        <v>Dewi Lestari</v>
      </c>
      <c r="G431" s="7" t="s">
        <v>1359</v>
      </c>
      <c r="H431" s="7" t="s">
        <v>1368</v>
      </c>
      <c r="I431" s="7">
        <v>1</v>
      </c>
      <c r="J431" s="7" t="str">
        <f>INDEX(Master_Produk!$C$2:$C$11,MATCH(H431,Master_Produk!$A$2:$A$11,0))</f>
        <v>Furnitur</v>
      </c>
      <c r="K431" s="8">
        <f>INDEX(Master_Produk!$E$2:$E$11,MATCH(Data_Transaksi!H431,Master_Produk!$A$2:$A$11,0))</f>
        <v>650000</v>
      </c>
      <c r="L431" s="8">
        <f t="shared" si="27"/>
        <v>650000</v>
      </c>
      <c r="M431" s="8">
        <f>INDEX(Master_Target!$B$2:$M$4, MATCH(J431, Master_Target!$A$2:$A$4, 0), MATCH(TEXT(B431, "[$-421]mmmm"), Master_Target!$B$1:$M$1, 0))</f>
        <v>30000000</v>
      </c>
    </row>
    <row r="432" spans="1:13" x14ac:dyDescent="0.25">
      <c r="A432" s="7" t="s">
        <v>441</v>
      </c>
      <c r="B432" s="11" t="s">
        <v>1158</v>
      </c>
      <c r="C432" s="7">
        <f t="shared" si="24"/>
        <v>6</v>
      </c>
      <c r="D432" s="7" t="str">
        <f t="shared" si="25"/>
        <v>Jun</v>
      </c>
      <c r="E432" s="7" t="s">
        <v>1356</v>
      </c>
      <c r="F432" s="7" t="str">
        <f t="shared" si="26"/>
        <v>Eko Prasetyo</v>
      </c>
      <c r="G432" s="7" t="s">
        <v>1359</v>
      </c>
      <c r="H432" s="7" t="s">
        <v>1370</v>
      </c>
      <c r="I432" s="7">
        <v>3</v>
      </c>
      <c r="J432" s="7" t="str">
        <f>INDEX(Master_Produk!$C$2:$C$11,MATCH(H432,Master_Produk!$A$2:$A$11,0))</f>
        <v>Furnitur</v>
      </c>
      <c r="K432" s="8">
        <f>INDEX(Master_Produk!$E$2:$E$11,MATCH(Data_Transaksi!H432,Master_Produk!$A$2:$A$11,0))</f>
        <v>1200000</v>
      </c>
      <c r="L432" s="8">
        <f t="shared" si="27"/>
        <v>3600000</v>
      </c>
      <c r="M432" s="8">
        <f>INDEX(Master_Target!$B$2:$M$4, MATCH(J432, Master_Target!$A$2:$A$4, 0), MATCH(TEXT(B432, "[$-421]mmmm"), Master_Target!$B$1:$M$1, 0))</f>
        <v>30000000</v>
      </c>
    </row>
    <row r="433" spans="1:13" x14ac:dyDescent="0.25">
      <c r="A433" s="7" t="s">
        <v>442</v>
      </c>
      <c r="B433" s="11" t="s">
        <v>1158</v>
      </c>
      <c r="C433" s="7">
        <f t="shared" si="24"/>
        <v>6</v>
      </c>
      <c r="D433" s="7" t="str">
        <f t="shared" si="25"/>
        <v>Jun</v>
      </c>
      <c r="E433" s="7" t="s">
        <v>1352</v>
      </c>
      <c r="F433" s="7" t="str">
        <f t="shared" si="26"/>
        <v>Ahmad Fauzi</v>
      </c>
      <c r="G433" s="7" t="s">
        <v>1357</v>
      </c>
      <c r="H433" s="7" t="s">
        <v>1371</v>
      </c>
      <c r="I433" s="7">
        <v>2</v>
      </c>
      <c r="J433" s="7" t="str">
        <f>INDEX(Master_Produk!$C$2:$C$11,MATCH(H433,Master_Produk!$A$2:$A$11,0))</f>
        <v>Pakaian</v>
      </c>
      <c r="K433" s="8">
        <f>INDEX(Master_Produk!$E$2:$E$11,MATCH(Data_Transaksi!H433,Master_Produk!$A$2:$A$11,0))</f>
        <v>280000</v>
      </c>
      <c r="L433" s="8">
        <f t="shared" si="27"/>
        <v>560000</v>
      </c>
      <c r="M433" s="8">
        <f>INDEX(Master_Target!$B$2:$M$4, MATCH(J433, Master_Target!$A$2:$A$4, 0), MATCH(TEXT(B433, "[$-421]mmmm"), Master_Target!$B$1:$M$1, 0))</f>
        <v>22500000</v>
      </c>
    </row>
    <row r="434" spans="1:13" x14ac:dyDescent="0.25">
      <c r="A434" s="7" t="s">
        <v>443</v>
      </c>
      <c r="B434" s="11" t="s">
        <v>1158</v>
      </c>
      <c r="C434" s="7">
        <f t="shared" si="24"/>
        <v>6</v>
      </c>
      <c r="D434" s="7" t="str">
        <f t="shared" si="25"/>
        <v>Jun</v>
      </c>
      <c r="E434" s="7" t="s">
        <v>1354</v>
      </c>
      <c r="F434" s="7" t="str">
        <f t="shared" si="26"/>
        <v>Mega Utami</v>
      </c>
      <c r="G434" s="7" t="s">
        <v>1360</v>
      </c>
      <c r="H434" s="7" t="s">
        <v>1369</v>
      </c>
      <c r="I434" s="7">
        <v>1</v>
      </c>
      <c r="J434" s="7" t="str">
        <f>INDEX(Master_Produk!$C$2:$C$11,MATCH(H434,Master_Produk!$A$2:$A$11,0))</f>
        <v>Elektronik</v>
      </c>
      <c r="K434" s="8">
        <f>INDEX(Master_Produk!$E$2:$E$11,MATCH(Data_Transaksi!H434,Master_Produk!$A$2:$A$11,0))</f>
        <v>4500000</v>
      </c>
      <c r="L434" s="8">
        <f t="shared" si="27"/>
        <v>4500000</v>
      </c>
      <c r="M434" s="8">
        <f>INDEX(Master_Target!$B$2:$M$4, MATCH(J434, Master_Target!$A$2:$A$4, 0), MATCH(TEXT(B434, "[$-421]mmmm"), Master_Target!$B$1:$M$1, 0))</f>
        <v>75000000</v>
      </c>
    </row>
    <row r="435" spans="1:13" x14ac:dyDescent="0.25">
      <c r="A435" s="7" t="s">
        <v>444</v>
      </c>
      <c r="B435" s="11" t="s">
        <v>1159</v>
      </c>
      <c r="C435" s="7">
        <f t="shared" si="24"/>
        <v>6</v>
      </c>
      <c r="D435" s="7" t="str">
        <f t="shared" si="25"/>
        <v>Jun</v>
      </c>
      <c r="E435" s="7" t="s">
        <v>1352</v>
      </c>
      <c r="F435" s="7" t="str">
        <f t="shared" si="26"/>
        <v>Ahmad Fauzi</v>
      </c>
      <c r="G435" s="7" t="s">
        <v>1358</v>
      </c>
      <c r="H435" s="7" t="s">
        <v>1370</v>
      </c>
      <c r="I435" s="7">
        <v>1</v>
      </c>
      <c r="J435" s="7" t="str">
        <f>INDEX(Master_Produk!$C$2:$C$11,MATCH(H435,Master_Produk!$A$2:$A$11,0))</f>
        <v>Furnitur</v>
      </c>
      <c r="K435" s="8">
        <f>INDEX(Master_Produk!$E$2:$E$11,MATCH(Data_Transaksi!H435,Master_Produk!$A$2:$A$11,0))</f>
        <v>1200000</v>
      </c>
      <c r="L435" s="8">
        <f t="shared" si="27"/>
        <v>1200000</v>
      </c>
      <c r="M435" s="8">
        <f>INDEX(Master_Target!$B$2:$M$4, MATCH(J435, Master_Target!$A$2:$A$4, 0), MATCH(TEXT(B435, "[$-421]mmmm"), Master_Target!$B$1:$M$1, 0))</f>
        <v>30000000</v>
      </c>
    </row>
    <row r="436" spans="1:13" x14ac:dyDescent="0.25">
      <c r="A436" s="7" t="s">
        <v>445</v>
      </c>
      <c r="B436" s="11" t="s">
        <v>1159</v>
      </c>
      <c r="C436" s="7">
        <f t="shared" si="24"/>
        <v>6</v>
      </c>
      <c r="D436" s="7" t="str">
        <f t="shared" si="25"/>
        <v>Jun</v>
      </c>
      <c r="E436" s="7" t="s">
        <v>1356</v>
      </c>
      <c r="F436" s="7" t="str">
        <f t="shared" si="26"/>
        <v>Eko Prasetyo</v>
      </c>
      <c r="G436" s="7" t="s">
        <v>1361</v>
      </c>
      <c r="H436" s="7" t="s">
        <v>1368</v>
      </c>
      <c r="I436" s="7">
        <v>2</v>
      </c>
      <c r="J436" s="7" t="str">
        <f>INDEX(Master_Produk!$C$2:$C$11,MATCH(H436,Master_Produk!$A$2:$A$11,0))</f>
        <v>Furnitur</v>
      </c>
      <c r="K436" s="8">
        <f>INDEX(Master_Produk!$E$2:$E$11,MATCH(Data_Transaksi!H436,Master_Produk!$A$2:$A$11,0))</f>
        <v>650000</v>
      </c>
      <c r="L436" s="8">
        <f t="shared" si="27"/>
        <v>1300000</v>
      </c>
      <c r="M436" s="8">
        <f>INDEX(Master_Target!$B$2:$M$4, MATCH(J436, Master_Target!$A$2:$A$4, 0), MATCH(TEXT(B436, "[$-421]mmmm"), Master_Target!$B$1:$M$1, 0))</f>
        <v>30000000</v>
      </c>
    </row>
    <row r="437" spans="1:13" x14ac:dyDescent="0.25">
      <c r="A437" s="7" t="s">
        <v>446</v>
      </c>
      <c r="B437" s="11" t="s">
        <v>1159</v>
      </c>
      <c r="C437" s="7">
        <f t="shared" si="24"/>
        <v>6</v>
      </c>
      <c r="D437" s="7" t="str">
        <f t="shared" si="25"/>
        <v>Jun</v>
      </c>
      <c r="E437" s="7" t="s">
        <v>1348</v>
      </c>
      <c r="F437" s="7" t="str">
        <f t="shared" si="26"/>
        <v>Budi Santoso</v>
      </c>
      <c r="G437" s="7" t="s">
        <v>1357</v>
      </c>
      <c r="H437" s="7" t="s">
        <v>1365</v>
      </c>
      <c r="I437" s="7">
        <v>1</v>
      </c>
      <c r="J437" s="7" t="str">
        <f>INDEX(Master_Produk!$C$2:$C$11,MATCH(H437,Master_Produk!$A$2:$A$11,0))</f>
        <v>Elektronik</v>
      </c>
      <c r="K437" s="8">
        <f>INDEX(Master_Produk!$E$2:$E$11,MATCH(Data_Transaksi!H437,Master_Produk!$A$2:$A$11,0))</f>
        <v>1800000</v>
      </c>
      <c r="L437" s="8">
        <f t="shared" si="27"/>
        <v>1800000</v>
      </c>
      <c r="M437" s="8">
        <f>INDEX(Master_Target!$B$2:$M$4, MATCH(J437, Master_Target!$A$2:$A$4, 0), MATCH(TEXT(B437, "[$-421]mmmm"), Master_Target!$B$1:$M$1, 0))</f>
        <v>75000000</v>
      </c>
    </row>
    <row r="438" spans="1:13" x14ac:dyDescent="0.25">
      <c r="A438" s="7" t="s">
        <v>447</v>
      </c>
      <c r="B438" s="11" t="s">
        <v>1159</v>
      </c>
      <c r="C438" s="7">
        <f t="shared" si="24"/>
        <v>6</v>
      </c>
      <c r="D438" s="7" t="str">
        <f t="shared" si="25"/>
        <v>Jun</v>
      </c>
      <c r="E438" s="7" t="s">
        <v>1347</v>
      </c>
      <c r="F438" s="7" t="str">
        <f t="shared" si="26"/>
        <v>Rina Marlina</v>
      </c>
      <c r="G438" s="7" t="s">
        <v>1359</v>
      </c>
      <c r="H438" s="7" t="s">
        <v>1368</v>
      </c>
      <c r="I438" s="7">
        <v>4</v>
      </c>
      <c r="J438" s="7" t="str">
        <f>INDEX(Master_Produk!$C$2:$C$11,MATCH(H438,Master_Produk!$A$2:$A$11,0))</f>
        <v>Furnitur</v>
      </c>
      <c r="K438" s="8">
        <f>INDEX(Master_Produk!$E$2:$E$11,MATCH(Data_Transaksi!H438,Master_Produk!$A$2:$A$11,0))</f>
        <v>650000</v>
      </c>
      <c r="L438" s="8">
        <f t="shared" si="27"/>
        <v>2600000</v>
      </c>
      <c r="M438" s="8">
        <f>INDEX(Master_Target!$B$2:$M$4, MATCH(J438, Master_Target!$A$2:$A$4, 0), MATCH(TEXT(B438, "[$-421]mmmm"), Master_Target!$B$1:$M$1, 0))</f>
        <v>30000000</v>
      </c>
    </row>
    <row r="439" spans="1:13" x14ac:dyDescent="0.25">
      <c r="A439" s="7" t="s">
        <v>448</v>
      </c>
      <c r="B439" s="11" t="s">
        <v>1159</v>
      </c>
      <c r="C439" s="7">
        <f t="shared" si="24"/>
        <v>6</v>
      </c>
      <c r="D439" s="7" t="str">
        <f t="shared" si="25"/>
        <v>Jun</v>
      </c>
      <c r="E439" s="7" t="s">
        <v>1349</v>
      </c>
      <c r="F439" s="7" t="str">
        <f t="shared" si="26"/>
        <v>Dewi Lestari</v>
      </c>
      <c r="G439" s="7" t="s">
        <v>1361</v>
      </c>
      <c r="H439" s="7" t="s">
        <v>1370</v>
      </c>
      <c r="I439" s="7">
        <v>2</v>
      </c>
      <c r="J439" s="7" t="str">
        <f>INDEX(Master_Produk!$C$2:$C$11,MATCH(H439,Master_Produk!$A$2:$A$11,0))</f>
        <v>Furnitur</v>
      </c>
      <c r="K439" s="8">
        <f>INDEX(Master_Produk!$E$2:$E$11,MATCH(Data_Transaksi!H439,Master_Produk!$A$2:$A$11,0))</f>
        <v>1200000</v>
      </c>
      <c r="L439" s="8">
        <f t="shared" si="27"/>
        <v>2400000</v>
      </c>
      <c r="M439" s="8">
        <f>INDEX(Master_Target!$B$2:$M$4, MATCH(J439, Master_Target!$A$2:$A$4, 0), MATCH(TEXT(B439, "[$-421]mmmm"), Master_Target!$B$1:$M$1, 0))</f>
        <v>30000000</v>
      </c>
    </row>
    <row r="440" spans="1:13" x14ac:dyDescent="0.25">
      <c r="A440" s="7" t="s">
        <v>449</v>
      </c>
      <c r="B440" s="11" t="s">
        <v>1159</v>
      </c>
      <c r="C440" s="7">
        <f t="shared" si="24"/>
        <v>6</v>
      </c>
      <c r="D440" s="7" t="str">
        <f t="shared" si="25"/>
        <v>Jun</v>
      </c>
      <c r="E440" s="7" t="s">
        <v>1351</v>
      </c>
      <c r="F440" s="7" t="str">
        <f t="shared" si="26"/>
        <v>Siti Rahma</v>
      </c>
      <c r="G440" s="7" t="s">
        <v>1357</v>
      </c>
      <c r="H440" s="7" t="s">
        <v>1364</v>
      </c>
      <c r="I440" s="7">
        <v>2</v>
      </c>
      <c r="J440" s="7" t="str">
        <f>INDEX(Master_Produk!$C$2:$C$11,MATCH(H440,Master_Produk!$A$2:$A$11,0))</f>
        <v>Furnitur</v>
      </c>
      <c r="K440" s="8">
        <f>INDEX(Master_Produk!$E$2:$E$11,MATCH(Data_Transaksi!H440,Master_Produk!$A$2:$A$11,0))</f>
        <v>950000</v>
      </c>
      <c r="L440" s="8">
        <f t="shared" si="27"/>
        <v>1900000</v>
      </c>
      <c r="M440" s="8">
        <f>INDEX(Master_Target!$B$2:$M$4, MATCH(J440, Master_Target!$A$2:$A$4, 0), MATCH(TEXT(B440, "[$-421]mmmm"), Master_Target!$B$1:$M$1, 0))</f>
        <v>30000000</v>
      </c>
    </row>
    <row r="441" spans="1:13" x14ac:dyDescent="0.25">
      <c r="A441" s="7" t="s">
        <v>450</v>
      </c>
      <c r="B441" s="11" t="s">
        <v>1159</v>
      </c>
      <c r="C441" s="7">
        <f t="shared" si="24"/>
        <v>6</v>
      </c>
      <c r="D441" s="7" t="str">
        <f t="shared" si="25"/>
        <v>Jun</v>
      </c>
      <c r="E441" s="7" t="s">
        <v>1353</v>
      </c>
      <c r="F441" s="7" t="str">
        <f t="shared" si="26"/>
        <v>Sari Yuliana</v>
      </c>
      <c r="G441" s="7" t="s">
        <v>1358</v>
      </c>
      <c r="H441" s="7" t="s">
        <v>1366</v>
      </c>
      <c r="I441" s="7">
        <v>2</v>
      </c>
      <c r="J441" s="7" t="str">
        <f>INDEX(Master_Produk!$C$2:$C$11,MATCH(H441,Master_Produk!$A$2:$A$11,0))</f>
        <v>Elektronik</v>
      </c>
      <c r="K441" s="8">
        <f>INDEX(Master_Produk!$E$2:$E$11,MATCH(Data_Transaksi!H441,Master_Produk!$A$2:$A$11,0))</f>
        <v>7500000</v>
      </c>
      <c r="L441" s="8">
        <f t="shared" si="27"/>
        <v>15000000</v>
      </c>
      <c r="M441" s="8">
        <f>INDEX(Master_Target!$B$2:$M$4, MATCH(J441, Master_Target!$A$2:$A$4, 0), MATCH(TEXT(B441, "[$-421]mmmm"), Master_Target!$B$1:$M$1, 0))</f>
        <v>75000000</v>
      </c>
    </row>
    <row r="442" spans="1:13" x14ac:dyDescent="0.25">
      <c r="A442" s="7" t="s">
        <v>451</v>
      </c>
      <c r="B442" s="11" t="s">
        <v>1160</v>
      </c>
      <c r="C442" s="7">
        <f t="shared" si="24"/>
        <v>6</v>
      </c>
      <c r="D442" s="7" t="str">
        <f t="shared" si="25"/>
        <v>Jun</v>
      </c>
      <c r="E442" s="7" t="s">
        <v>1349</v>
      </c>
      <c r="F442" s="7" t="str">
        <f t="shared" si="26"/>
        <v>Dewi Lestari</v>
      </c>
      <c r="G442" s="7" t="s">
        <v>1359</v>
      </c>
      <c r="H442" s="7" t="s">
        <v>1366</v>
      </c>
      <c r="I442" s="7">
        <v>3</v>
      </c>
      <c r="J442" s="7" t="str">
        <f>INDEX(Master_Produk!$C$2:$C$11,MATCH(H442,Master_Produk!$A$2:$A$11,0))</f>
        <v>Elektronik</v>
      </c>
      <c r="K442" s="8">
        <f>INDEX(Master_Produk!$E$2:$E$11,MATCH(Data_Transaksi!H442,Master_Produk!$A$2:$A$11,0))</f>
        <v>7500000</v>
      </c>
      <c r="L442" s="8">
        <f t="shared" si="27"/>
        <v>22500000</v>
      </c>
      <c r="M442" s="8">
        <f>INDEX(Master_Target!$B$2:$M$4, MATCH(J442, Master_Target!$A$2:$A$4, 0), MATCH(TEXT(B442, "[$-421]mmmm"), Master_Target!$B$1:$M$1, 0))</f>
        <v>75000000</v>
      </c>
    </row>
    <row r="443" spans="1:13" x14ac:dyDescent="0.25">
      <c r="A443" s="7" t="s">
        <v>452</v>
      </c>
      <c r="B443" s="11" t="s">
        <v>1160</v>
      </c>
      <c r="C443" s="7">
        <f t="shared" si="24"/>
        <v>6</v>
      </c>
      <c r="D443" s="7" t="str">
        <f t="shared" si="25"/>
        <v>Jun</v>
      </c>
      <c r="E443" s="7" t="s">
        <v>1348</v>
      </c>
      <c r="F443" s="7" t="str">
        <f t="shared" si="26"/>
        <v>Budi Santoso</v>
      </c>
      <c r="G443" s="7" t="s">
        <v>1358</v>
      </c>
      <c r="H443" s="7" t="s">
        <v>1363</v>
      </c>
      <c r="I443" s="7">
        <v>1</v>
      </c>
      <c r="J443" s="7" t="str">
        <f>INDEX(Master_Produk!$C$2:$C$11,MATCH(H443,Master_Produk!$A$2:$A$11,0))</f>
        <v>Pakaian</v>
      </c>
      <c r="K443" s="8">
        <f>INDEX(Master_Produk!$E$2:$E$11,MATCH(Data_Transaksi!H443,Master_Produk!$A$2:$A$11,0))</f>
        <v>250000</v>
      </c>
      <c r="L443" s="8">
        <f t="shared" si="27"/>
        <v>250000</v>
      </c>
      <c r="M443" s="8">
        <f>INDEX(Master_Target!$B$2:$M$4, MATCH(J443, Master_Target!$A$2:$A$4, 0), MATCH(TEXT(B443, "[$-421]mmmm"), Master_Target!$B$1:$M$1, 0))</f>
        <v>22500000</v>
      </c>
    </row>
    <row r="444" spans="1:13" x14ac:dyDescent="0.25">
      <c r="A444" s="7" t="s">
        <v>453</v>
      </c>
      <c r="B444" s="11" t="s">
        <v>1160</v>
      </c>
      <c r="C444" s="7">
        <f t="shared" si="24"/>
        <v>6</v>
      </c>
      <c r="D444" s="7" t="str">
        <f t="shared" si="25"/>
        <v>Jun</v>
      </c>
      <c r="E444" s="7" t="s">
        <v>1347</v>
      </c>
      <c r="F444" s="7" t="str">
        <f t="shared" si="26"/>
        <v>Rina Marlina</v>
      </c>
      <c r="G444" s="7" t="s">
        <v>1357</v>
      </c>
      <c r="H444" s="7" t="s">
        <v>1367</v>
      </c>
      <c r="I444" s="7">
        <v>2</v>
      </c>
      <c r="J444" s="7" t="str">
        <f>INDEX(Master_Produk!$C$2:$C$11,MATCH(H444,Master_Produk!$A$2:$A$11,0))</f>
        <v>Elektronik</v>
      </c>
      <c r="K444" s="8">
        <f>INDEX(Master_Produk!$E$2:$E$11,MATCH(Data_Transaksi!H444,Master_Produk!$A$2:$A$11,0))</f>
        <v>250000</v>
      </c>
      <c r="L444" s="8">
        <f t="shared" si="27"/>
        <v>500000</v>
      </c>
      <c r="M444" s="8">
        <f>INDEX(Master_Target!$B$2:$M$4, MATCH(J444, Master_Target!$A$2:$A$4, 0), MATCH(TEXT(B444, "[$-421]mmmm"), Master_Target!$B$1:$M$1, 0))</f>
        <v>75000000</v>
      </c>
    </row>
    <row r="445" spans="1:13" x14ac:dyDescent="0.25">
      <c r="A445" s="7" t="s">
        <v>454</v>
      </c>
      <c r="B445" s="11" t="s">
        <v>1160</v>
      </c>
      <c r="C445" s="7">
        <f t="shared" si="24"/>
        <v>6</v>
      </c>
      <c r="D445" s="7" t="str">
        <f t="shared" si="25"/>
        <v>Jun</v>
      </c>
      <c r="E445" s="7" t="s">
        <v>1353</v>
      </c>
      <c r="F445" s="7" t="str">
        <f t="shared" si="26"/>
        <v>Sari Yuliana</v>
      </c>
      <c r="G445" s="7" t="s">
        <v>1361</v>
      </c>
      <c r="H445" s="7" t="s">
        <v>1368</v>
      </c>
      <c r="I445" s="7">
        <v>2</v>
      </c>
      <c r="J445" s="7" t="str">
        <f>INDEX(Master_Produk!$C$2:$C$11,MATCH(H445,Master_Produk!$A$2:$A$11,0))</f>
        <v>Furnitur</v>
      </c>
      <c r="K445" s="8">
        <f>INDEX(Master_Produk!$E$2:$E$11,MATCH(Data_Transaksi!H445,Master_Produk!$A$2:$A$11,0))</f>
        <v>650000</v>
      </c>
      <c r="L445" s="8">
        <f t="shared" si="27"/>
        <v>1300000</v>
      </c>
      <c r="M445" s="8">
        <f>INDEX(Master_Target!$B$2:$M$4, MATCH(J445, Master_Target!$A$2:$A$4, 0), MATCH(TEXT(B445, "[$-421]mmmm"), Master_Target!$B$1:$M$1, 0))</f>
        <v>30000000</v>
      </c>
    </row>
    <row r="446" spans="1:13" x14ac:dyDescent="0.25">
      <c r="A446" s="7" t="s">
        <v>455</v>
      </c>
      <c r="B446" s="11" t="s">
        <v>1161</v>
      </c>
      <c r="C446" s="7">
        <f t="shared" si="24"/>
        <v>6</v>
      </c>
      <c r="D446" s="7" t="str">
        <f t="shared" si="25"/>
        <v>Jun</v>
      </c>
      <c r="E446" s="7" t="s">
        <v>1354</v>
      </c>
      <c r="F446" s="7" t="str">
        <f t="shared" si="26"/>
        <v>Mega Utami</v>
      </c>
      <c r="G446" s="7" t="s">
        <v>1360</v>
      </c>
      <c r="H446" s="7" t="s">
        <v>1365</v>
      </c>
      <c r="I446" s="7">
        <v>1</v>
      </c>
      <c r="J446" s="7" t="str">
        <f>INDEX(Master_Produk!$C$2:$C$11,MATCH(H446,Master_Produk!$A$2:$A$11,0))</f>
        <v>Elektronik</v>
      </c>
      <c r="K446" s="8">
        <f>INDEX(Master_Produk!$E$2:$E$11,MATCH(Data_Transaksi!H446,Master_Produk!$A$2:$A$11,0))</f>
        <v>1800000</v>
      </c>
      <c r="L446" s="8">
        <f t="shared" si="27"/>
        <v>1800000</v>
      </c>
      <c r="M446" s="8">
        <f>INDEX(Master_Target!$B$2:$M$4, MATCH(J446, Master_Target!$A$2:$A$4, 0), MATCH(TEXT(B446, "[$-421]mmmm"), Master_Target!$B$1:$M$1, 0))</f>
        <v>75000000</v>
      </c>
    </row>
    <row r="447" spans="1:13" x14ac:dyDescent="0.25">
      <c r="A447" s="7" t="s">
        <v>456</v>
      </c>
      <c r="B447" s="11" t="s">
        <v>1161</v>
      </c>
      <c r="C447" s="7">
        <f t="shared" si="24"/>
        <v>6</v>
      </c>
      <c r="D447" s="7" t="str">
        <f t="shared" si="25"/>
        <v>Jun</v>
      </c>
      <c r="E447" s="7" t="s">
        <v>1356</v>
      </c>
      <c r="F447" s="7" t="str">
        <f t="shared" si="26"/>
        <v>Eko Prasetyo</v>
      </c>
      <c r="G447" s="7" t="s">
        <v>1359</v>
      </c>
      <c r="H447" s="7" t="s">
        <v>1368</v>
      </c>
      <c r="I447" s="7">
        <v>4</v>
      </c>
      <c r="J447" s="7" t="str">
        <f>INDEX(Master_Produk!$C$2:$C$11,MATCH(H447,Master_Produk!$A$2:$A$11,0))</f>
        <v>Furnitur</v>
      </c>
      <c r="K447" s="8">
        <f>INDEX(Master_Produk!$E$2:$E$11,MATCH(Data_Transaksi!H447,Master_Produk!$A$2:$A$11,0))</f>
        <v>650000</v>
      </c>
      <c r="L447" s="8">
        <f t="shared" si="27"/>
        <v>2600000</v>
      </c>
      <c r="M447" s="8">
        <f>INDEX(Master_Target!$B$2:$M$4, MATCH(J447, Master_Target!$A$2:$A$4, 0), MATCH(TEXT(B447, "[$-421]mmmm"), Master_Target!$B$1:$M$1, 0))</f>
        <v>30000000</v>
      </c>
    </row>
    <row r="448" spans="1:13" x14ac:dyDescent="0.25">
      <c r="A448" s="7" t="s">
        <v>457</v>
      </c>
      <c r="B448" s="11" t="s">
        <v>1162</v>
      </c>
      <c r="C448" s="7">
        <f t="shared" si="24"/>
        <v>6</v>
      </c>
      <c r="D448" s="7" t="str">
        <f t="shared" si="25"/>
        <v>Jun</v>
      </c>
      <c r="E448" s="7" t="s">
        <v>1356</v>
      </c>
      <c r="F448" s="7" t="str">
        <f t="shared" si="26"/>
        <v>Eko Prasetyo</v>
      </c>
      <c r="G448" s="7" t="s">
        <v>1358</v>
      </c>
      <c r="H448" s="7" t="s">
        <v>1365</v>
      </c>
      <c r="I448" s="7">
        <v>3</v>
      </c>
      <c r="J448" s="7" t="str">
        <f>INDEX(Master_Produk!$C$2:$C$11,MATCH(H448,Master_Produk!$A$2:$A$11,0))</f>
        <v>Elektronik</v>
      </c>
      <c r="K448" s="8">
        <f>INDEX(Master_Produk!$E$2:$E$11,MATCH(Data_Transaksi!H448,Master_Produk!$A$2:$A$11,0))</f>
        <v>1800000</v>
      </c>
      <c r="L448" s="8">
        <f t="shared" si="27"/>
        <v>5400000</v>
      </c>
      <c r="M448" s="8">
        <f>INDEX(Master_Target!$B$2:$M$4, MATCH(J448, Master_Target!$A$2:$A$4, 0), MATCH(TEXT(B448, "[$-421]mmmm"), Master_Target!$B$1:$M$1, 0))</f>
        <v>75000000</v>
      </c>
    </row>
    <row r="449" spans="1:13" x14ac:dyDescent="0.25">
      <c r="A449" s="7" t="s">
        <v>458</v>
      </c>
      <c r="B449" s="11" t="s">
        <v>1162</v>
      </c>
      <c r="C449" s="7">
        <f t="shared" si="24"/>
        <v>6</v>
      </c>
      <c r="D449" s="7" t="str">
        <f t="shared" si="25"/>
        <v>Jun</v>
      </c>
      <c r="E449" s="7" t="s">
        <v>1354</v>
      </c>
      <c r="F449" s="7" t="str">
        <f t="shared" si="26"/>
        <v>Mega Utami</v>
      </c>
      <c r="G449" s="7" t="s">
        <v>1361</v>
      </c>
      <c r="H449" s="7" t="s">
        <v>1364</v>
      </c>
      <c r="I449" s="7">
        <v>2</v>
      </c>
      <c r="J449" s="7" t="str">
        <f>INDEX(Master_Produk!$C$2:$C$11,MATCH(H449,Master_Produk!$A$2:$A$11,0))</f>
        <v>Furnitur</v>
      </c>
      <c r="K449" s="8">
        <f>INDEX(Master_Produk!$E$2:$E$11,MATCH(Data_Transaksi!H449,Master_Produk!$A$2:$A$11,0))</f>
        <v>950000</v>
      </c>
      <c r="L449" s="8">
        <f t="shared" si="27"/>
        <v>1900000</v>
      </c>
      <c r="M449" s="8">
        <f>INDEX(Master_Target!$B$2:$M$4, MATCH(J449, Master_Target!$A$2:$A$4, 0), MATCH(TEXT(B449, "[$-421]mmmm"), Master_Target!$B$1:$M$1, 0))</f>
        <v>30000000</v>
      </c>
    </row>
    <row r="450" spans="1:13" x14ac:dyDescent="0.25">
      <c r="A450" s="7" t="s">
        <v>459</v>
      </c>
      <c r="B450" s="11" t="s">
        <v>1162</v>
      </c>
      <c r="C450" s="7">
        <f t="shared" si="24"/>
        <v>6</v>
      </c>
      <c r="D450" s="7" t="str">
        <f t="shared" si="25"/>
        <v>Jun</v>
      </c>
      <c r="E450" s="7" t="s">
        <v>1353</v>
      </c>
      <c r="F450" s="7" t="str">
        <f t="shared" si="26"/>
        <v>Sari Yuliana</v>
      </c>
      <c r="G450" s="7" t="s">
        <v>1361</v>
      </c>
      <c r="H450" s="7" t="s">
        <v>1364</v>
      </c>
      <c r="I450" s="7">
        <v>4</v>
      </c>
      <c r="J450" s="7" t="str">
        <f>INDEX(Master_Produk!$C$2:$C$11,MATCH(H450,Master_Produk!$A$2:$A$11,0))</f>
        <v>Furnitur</v>
      </c>
      <c r="K450" s="8">
        <f>INDEX(Master_Produk!$E$2:$E$11,MATCH(Data_Transaksi!H450,Master_Produk!$A$2:$A$11,0))</f>
        <v>950000</v>
      </c>
      <c r="L450" s="8">
        <f t="shared" si="27"/>
        <v>3800000</v>
      </c>
      <c r="M450" s="8">
        <f>INDEX(Master_Target!$B$2:$M$4, MATCH(J450, Master_Target!$A$2:$A$4, 0), MATCH(TEXT(B450, "[$-421]mmmm"), Master_Target!$B$1:$M$1, 0))</f>
        <v>30000000</v>
      </c>
    </row>
    <row r="451" spans="1:13" x14ac:dyDescent="0.25">
      <c r="A451" s="7" t="s">
        <v>460</v>
      </c>
      <c r="B451" s="11" t="s">
        <v>1162</v>
      </c>
      <c r="C451" s="7">
        <f t="shared" ref="C451:C514" si="28">MONTH(B451)</f>
        <v>6</v>
      </c>
      <c r="D451" s="7" t="str">
        <f t="shared" ref="D451:D514" si="29">TEXT(B451,"mmm")</f>
        <v>Jun</v>
      </c>
      <c r="E451" s="7" t="s">
        <v>1352</v>
      </c>
      <c r="F451" s="7" t="str">
        <f t="shared" ref="F451:F514" si="30">TRIM(PROPER(E451))</f>
        <v>Ahmad Fauzi</v>
      </c>
      <c r="G451" s="7" t="s">
        <v>1360</v>
      </c>
      <c r="H451" s="7" t="s">
        <v>1367</v>
      </c>
      <c r="I451" s="7">
        <v>4</v>
      </c>
      <c r="J451" s="7" t="str">
        <f>INDEX(Master_Produk!$C$2:$C$11,MATCH(H451,Master_Produk!$A$2:$A$11,0))</f>
        <v>Elektronik</v>
      </c>
      <c r="K451" s="8">
        <f>INDEX(Master_Produk!$E$2:$E$11,MATCH(Data_Transaksi!H451,Master_Produk!$A$2:$A$11,0))</f>
        <v>250000</v>
      </c>
      <c r="L451" s="8">
        <f t="shared" ref="L451:L514" si="31">I451*K451</f>
        <v>1000000</v>
      </c>
      <c r="M451" s="8">
        <f>INDEX(Master_Target!$B$2:$M$4, MATCH(J451, Master_Target!$A$2:$A$4, 0), MATCH(TEXT(B451, "[$-421]mmmm"), Master_Target!$B$1:$M$1, 0))</f>
        <v>75000000</v>
      </c>
    </row>
    <row r="452" spans="1:13" x14ac:dyDescent="0.25">
      <c r="A452" s="7" t="s">
        <v>461</v>
      </c>
      <c r="B452" s="11" t="s">
        <v>1163</v>
      </c>
      <c r="C452" s="7">
        <f t="shared" si="28"/>
        <v>6</v>
      </c>
      <c r="D452" s="7" t="str">
        <f t="shared" si="29"/>
        <v>Jun</v>
      </c>
      <c r="E452" s="7" t="s">
        <v>1347</v>
      </c>
      <c r="F452" s="7" t="str">
        <f t="shared" si="30"/>
        <v>Rina Marlina</v>
      </c>
      <c r="G452" s="7" t="s">
        <v>1357</v>
      </c>
      <c r="H452" s="7" t="s">
        <v>1371</v>
      </c>
      <c r="I452" s="7">
        <v>3</v>
      </c>
      <c r="J452" s="7" t="str">
        <f>INDEX(Master_Produk!$C$2:$C$11,MATCH(H452,Master_Produk!$A$2:$A$11,0))</f>
        <v>Pakaian</v>
      </c>
      <c r="K452" s="8">
        <f>INDEX(Master_Produk!$E$2:$E$11,MATCH(Data_Transaksi!H452,Master_Produk!$A$2:$A$11,0))</f>
        <v>280000</v>
      </c>
      <c r="L452" s="8">
        <f t="shared" si="31"/>
        <v>840000</v>
      </c>
      <c r="M452" s="8">
        <f>INDEX(Master_Target!$B$2:$M$4, MATCH(J452, Master_Target!$A$2:$A$4, 0), MATCH(TEXT(B452, "[$-421]mmmm"), Master_Target!$B$1:$M$1, 0))</f>
        <v>22500000</v>
      </c>
    </row>
    <row r="453" spans="1:13" x14ac:dyDescent="0.25">
      <c r="A453" s="7" t="s">
        <v>462</v>
      </c>
      <c r="B453" s="11" t="s">
        <v>1163</v>
      </c>
      <c r="C453" s="7">
        <f t="shared" si="28"/>
        <v>6</v>
      </c>
      <c r="D453" s="7" t="str">
        <f t="shared" si="29"/>
        <v>Jun</v>
      </c>
      <c r="E453" s="7" t="s">
        <v>1354</v>
      </c>
      <c r="F453" s="7" t="str">
        <f t="shared" si="30"/>
        <v>Mega Utami</v>
      </c>
      <c r="G453" s="7" t="s">
        <v>1360</v>
      </c>
      <c r="H453" s="7" t="s">
        <v>1370</v>
      </c>
      <c r="I453" s="7">
        <v>3</v>
      </c>
      <c r="J453" s="7" t="str">
        <f>INDEX(Master_Produk!$C$2:$C$11,MATCH(H453,Master_Produk!$A$2:$A$11,0))</f>
        <v>Furnitur</v>
      </c>
      <c r="K453" s="8">
        <f>INDEX(Master_Produk!$E$2:$E$11,MATCH(Data_Transaksi!H453,Master_Produk!$A$2:$A$11,0))</f>
        <v>1200000</v>
      </c>
      <c r="L453" s="8">
        <f t="shared" si="31"/>
        <v>3600000</v>
      </c>
      <c r="M453" s="8">
        <f>INDEX(Master_Target!$B$2:$M$4, MATCH(J453, Master_Target!$A$2:$A$4, 0), MATCH(TEXT(B453, "[$-421]mmmm"), Master_Target!$B$1:$M$1, 0))</f>
        <v>30000000</v>
      </c>
    </row>
    <row r="454" spans="1:13" x14ac:dyDescent="0.25">
      <c r="A454" s="7" t="s">
        <v>463</v>
      </c>
      <c r="B454" s="11" t="s">
        <v>1163</v>
      </c>
      <c r="C454" s="7">
        <f t="shared" si="28"/>
        <v>6</v>
      </c>
      <c r="D454" s="7" t="str">
        <f t="shared" si="29"/>
        <v>Jun</v>
      </c>
      <c r="E454" s="7" t="s">
        <v>1353</v>
      </c>
      <c r="F454" s="7" t="str">
        <f t="shared" si="30"/>
        <v>Sari Yuliana</v>
      </c>
      <c r="G454" s="7" t="s">
        <v>1360</v>
      </c>
      <c r="H454" s="7" t="s">
        <v>1363</v>
      </c>
      <c r="I454" s="7">
        <v>2</v>
      </c>
      <c r="J454" s="7" t="str">
        <f>INDEX(Master_Produk!$C$2:$C$11,MATCH(H454,Master_Produk!$A$2:$A$11,0))</f>
        <v>Pakaian</v>
      </c>
      <c r="K454" s="8">
        <f>INDEX(Master_Produk!$E$2:$E$11,MATCH(Data_Transaksi!H454,Master_Produk!$A$2:$A$11,0))</f>
        <v>250000</v>
      </c>
      <c r="L454" s="8">
        <f t="shared" si="31"/>
        <v>500000</v>
      </c>
      <c r="M454" s="8">
        <f>INDEX(Master_Target!$B$2:$M$4, MATCH(J454, Master_Target!$A$2:$A$4, 0), MATCH(TEXT(B454, "[$-421]mmmm"), Master_Target!$B$1:$M$1, 0))</f>
        <v>22500000</v>
      </c>
    </row>
    <row r="455" spans="1:13" x14ac:dyDescent="0.25">
      <c r="A455" s="7" t="s">
        <v>464</v>
      </c>
      <c r="B455" s="11" t="s">
        <v>1164</v>
      </c>
      <c r="C455" s="7">
        <f t="shared" si="28"/>
        <v>6</v>
      </c>
      <c r="D455" s="7" t="str">
        <f t="shared" si="29"/>
        <v>Jun</v>
      </c>
      <c r="E455" s="7" t="s">
        <v>1350</v>
      </c>
      <c r="F455" s="7" t="str">
        <f t="shared" si="30"/>
        <v>Andi Wijaya</v>
      </c>
      <c r="G455" s="7" t="s">
        <v>1357</v>
      </c>
      <c r="H455" s="7" t="s">
        <v>1364</v>
      </c>
      <c r="I455" s="7">
        <v>2</v>
      </c>
      <c r="J455" s="7" t="str">
        <f>INDEX(Master_Produk!$C$2:$C$11,MATCH(H455,Master_Produk!$A$2:$A$11,0))</f>
        <v>Furnitur</v>
      </c>
      <c r="K455" s="8">
        <f>INDEX(Master_Produk!$E$2:$E$11,MATCH(Data_Transaksi!H455,Master_Produk!$A$2:$A$11,0))</f>
        <v>950000</v>
      </c>
      <c r="L455" s="8">
        <f t="shared" si="31"/>
        <v>1900000</v>
      </c>
      <c r="M455" s="8">
        <f>INDEX(Master_Target!$B$2:$M$4, MATCH(J455, Master_Target!$A$2:$A$4, 0), MATCH(TEXT(B455, "[$-421]mmmm"), Master_Target!$B$1:$M$1, 0))</f>
        <v>30000000</v>
      </c>
    </row>
    <row r="456" spans="1:13" x14ac:dyDescent="0.25">
      <c r="A456" s="7" t="s">
        <v>465</v>
      </c>
      <c r="B456" s="11" t="s">
        <v>1164</v>
      </c>
      <c r="C456" s="7">
        <f t="shared" si="28"/>
        <v>6</v>
      </c>
      <c r="D456" s="7" t="str">
        <f t="shared" si="29"/>
        <v>Jun</v>
      </c>
      <c r="E456" s="7" t="s">
        <v>1349</v>
      </c>
      <c r="F456" s="7" t="str">
        <f t="shared" si="30"/>
        <v>Dewi Lestari</v>
      </c>
      <c r="G456" s="7" t="s">
        <v>1357</v>
      </c>
      <c r="H456" s="7" t="s">
        <v>1369</v>
      </c>
      <c r="I456" s="7">
        <v>2</v>
      </c>
      <c r="J456" s="7" t="str">
        <f>INDEX(Master_Produk!$C$2:$C$11,MATCH(H456,Master_Produk!$A$2:$A$11,0))</f>
        <v>Elektronik</v>
      </c>
      <c r="K456" s="8">
        <f>INDEX(Master_Produk!$E$2:$E$11,MATCH(Data_Transaksi!H456,Master_Produk!$A$2:$A$11,0))</f>
        <v>4500000</v>
      </c>
      <c r="L456" s="8">
        <f t="shared" si="31"/>
        <v>9000000</v>
      </c>
      <c r="M456" s="8">
        <f>INDEX(Master_Target!$B$2:$M$4, MATCH(J456, Master_Target!$A$2:$A$4, 0), MATCH(TEXT(B456, "[$-421]mmmm"), Master_Target!$B$1:$M$1, 0))</f>
        <v>75000000</v>
      </c>
    </row>
    <row r="457" spans="1:13" x14ac:dyDescent="0.25">
      <c r="A457" s="7" t="s">
        <v>466</v>
      </c>
      <c r="B457" s="11" t="s">
        <v>1164</v>
      </c>
      <c r="C457" s="7">
        <f t="shared" si="28"/>
        <v>6</v>
      </c>
      <c r="D457" s="7" t="str">
        <f t="shared" si="29"/>
        <v>Jun</v>
      </c>
      <c r="E457" s="7" t="s">
        <v>1348</v>
      </c>
      <c r="F457" s="7" t="str">
        <f t="shared" si="30"/>
        <v>Budi Santoso</v>
      </c>
      <c r="G457" s="7" t="s">
        <v>1357</v>
      </c>
      <c r="H457" s="7" t="s">
        <v>1366</v>
      </c>
      <c r="I457" s="7">
        <v>3</v>
      </c>
      <c r="J457" s="7" t="str">
        <f>INDEX(Master_Produk!$C$2:$C$11,MATCH(H457,Master_Produk!$A$2:$A$11,0))</f>
        <v>Elektronik</v>
      </c>
      <c r="K457" s="8">
        <f>INDEX(Master_Produk!$E$2:$E$11,MATCH(Data_Transaksi!H457,Master_Produk!$A$2:$A$11,0))</f>
        <v>7500000</v>
      </c>
      <c r="L457" s="8">
        <f t="shared" si="31"/>
        <v>22500000</v>
      </c>
      <c r="M457" s="8">
        <f>INDEX(Master_Target!$B$2:$M$4, MATCH(J457, Master_Target!$A$2:$A$4, 0), MATCH(TEXT(B457, "[$-421]mmmm"), Master_Target!$B$1:$M$1, 0))</f>
        <v>75000000</v>
      </c>
    </row>
    <row r="458" spans="1:13" x14ac:dyDescent="0.25">
      <c r="A458" s="7" t="s">
        <v>467</v>
      </c>
      <c r="B458" s="11" t="s">
        <v>1165</v>
      </c>
      <c r="C458" s="7">
        <f t="shared" si="28"/>
        <v>6</v>
      </c>
      <c r="D458" s="7" t="str">
        <f t="shared" si="29"/>
        <v>Jun</v>
      </c>
      <c r="E458" s="7" t="s">
        <v>1354</v>
      </c>
      <c r="F458" s="7" t="str">
        <f t="shared" si="30"/>
        <v>Mega Utami</v>
      </c>
      <c r="G458" s="7" t="s">
        <v>1361</v>
      </c>
      <c r="H458" s="7" t="s">
        <v>1365</v>
      </c>
      <c r="I458" s="7">
        <v>1</v>
      </c>
      <c r="J458" s="7" t="str">
        <f>INDEX(Master_Produk!$C$2:$C$11,MATCH(H458,Master_Produk!$A$2:$A$11,0))</f>
        <v>Elektronik</v>
      </c>
      <c r="K458" s="8">
        <f>INDEX(Master_Produk!$E$2:$E$11,MATCH(Data_Transaksi!H458,Master_Produk!$A$2:$A$11,0))</f>
        <v>1800000</v>
      </c>
      <c r="L458" s="8">
        <f t="shared" si="31"/>
        <v>1800000</v>
      </c>
      <c r="M458" s="8">
        <f>INDEX(Master_Target!$B$2:$M$4, MATCH(J458, Master_Target!$A$2:$A$4, 0), MATCH(TEXT(B458, "[$-421]mmmm"), Master_Target!$B$1:$M$1, 0))</f>
        <v>75000000</v>
      </c>
    </row>
    <row r="459" spans="1:13" x14ac:dyDescent="0.25">
      <c r="A459" s="7" t="s">
        <v>468</v>
      </c>
      <c r="B459" s="11" t="s">
        <v>1166</v>
      </c>
      <c r="C459" s="7">
        <f t="shared" si="28"/>
        <v>6</v>
      </c>
      <c r="D459" s="7" t="str">
        <f t="shared" si="29"/>
        <v>Jun</v>
      </c>
      <c r="E459" s="7" t="s">
        <v>1348</v>
      </c>
      <c r="F459" s="7" t="str">
        <f t="shared" si="30"/>
        <v>Budi Santoso</v>
      </c>
      <c r="G459" s="7" t="s">
        <v>1361</v>
      </c>
      <c r="H459" s="7" t="s">
        <v>1362</v>
      </c>
      <c r="I459" s="7">
        <v>4</v>
      </c>
      <c r="J459" s="7" t="str">
        <f>INDEX(Master_Produk!$C$2:$C$11,MATCH(H459,Master_Produk!$A$2:$A$11,0))</f>
        <v>Pakaian</v>
      </c>
      <c r="K459" s="8">
        <f>INDEX(Master_Produk!$E$2:$E$11,MATCH(Data_Transaksi!H459,Master_Produk!$A$2:$A$11,0))</f>
        <v>350000</v>
      </c>
      <c r="L459" s="8">
        <f t="shared" si="31"/>
        <v>1400000</v>
      </c>
      <c r="M459" s="8">
        <f>INDEX(Master_Target!$B$2:$M$4, MATCH(J459, Master_Target!$A$2:$A$4, 0), MATCH(TEXT(B459, "[$-421]mmmm"), Master_Target!$B$1:$M$1, 0))</f>
        <v>22500000</v>
      </c>
    </row>
    <row r="460" spans="1:13" x14ac:dyDescent="0.25">
      <c r="A460" s="7" t="s">
        <v>469</v>
      </c>
      <c r="B460" s="11" t="s">
        <v>1166</v>
      </c>
      <c r="C460" s="7">
        <f t="shared" si="28"/>
        <v>6</v>
      </c>
      <c r="D460" s="7" t="str">
        <f t="shared" si="29"/>
        <v>Jun</v>
      </c>
      <c r="E460" s="7" t="s">
        <v>1352</v>
      </c>
      <c r="F460" s="7" t="str">
        <f t="shared" si="30"/>
        <v>Ahmad Fauzi</v>
      </c>
      <c r="G460" s="7" t="s">
        <v>1359</v>
      </c>
      <c r="H460" s="7" t="s">
        <v>1366</v>
      </c>
      <c r="I460" s="7">
        <v>4</v>
      </c>
      <c r="J460" s="7" t="str">
        <f>INDEX(Master_Produk!$C$2:$C$11,MATCH(H460,Master_Produk!$A$2:$A$11,0))</f>
        <v>Elektronik</v>
      </c>
      <c r="K460" s="8">
        <f>INDEX(Master_Produk!$E$2:$E$11,MATCH(Data_Transaksi!H460,Master_Produk!$A$2:$A$11,0))</f>
        <v>7500000</v>
      </c>
      <c r="L460" s="8">
        <f t="shared" si="31"/>
        <v>30000000</v>
      </c>
      <c r="M460" s="8">
        <f>INDEX(Master_Target!$B$2:$M$4, MATCH(J460, Master_Target!$A$2:$A$4, 0), MATCH(TEXT(B460, "[$-421]mmmm"), Master_Target!$B$1:$M$1, 0))</f>
        <v>75000000</v>
      </c>
    </row>
    <row r="461" spans="1:13" x14ac:dyDescent="0.25">
      <c r="A461" s="7" t="s">
        <v>470</v>
      </c>
      <c r="B461" s="11" t="s">
        <v>1167</v>
      </c>
      <c r="C461" s="7">
        <f t="shared" si="28"/>
        <v>6</v>
      </c>
      <c r="D461" s="7" t="str">
        <f t="shared" si="29"/>
        <v>Jun</v>
      </c>
      <c r="E461" s="7" t="s">
        <v>1352</v>
      </c>
      <c r="F461" s="7" t="str">
        <f t="shared" si="30"/>
        <v>Ahmad Fauzi</v>
      </c>
      <c r="G461" s="7" t="s">
        <v>1359</v>
      </c>
      <c r="H461" s="7" t="s">
        <v>1364</v>
      </c>
      <c r="I461" s="7">
        <v>1</v>
      </c>
      <c r="J461" s="7" t="str">
        <f>INDEX(Master_Produk!$C$2:$C$11,MATCH(H461,Master_Produk!$A$2:$A$11,0))</f>
        <v>Furnitur</v>
      </c>
      <c r="K461" s="8">
        <f>INDEX(Master_Produk!$E$2:$E$11,MATCH(Data_Transaksi!H461,Master_Produk!$A$2:$A$11,0))</f>
        <v>950000</v>
      </c>
      <c r="L461" s="8">
        <f t="shared" si="31"/>
        <v>950000</v>
      </c>
      <c r="M461" s="8">
        <f>INDEX(Master_Target!$B$2:$M$4, MATCH(J461, Master_Target!$A$2:$A$4, 0), MATCH(TEXT(B461, "[$-421]mmmm"), Master_Target!$B$1:$M$1, 0))</f>
        <v>30000000</v>
      </c>
    </row>
    <row r="462" spans="1:13" x14ac:dyDescent="0.25">
      <c r="A462" s="7" t="s">
        <v>471</v>
      </c>
      <c r="B462" s="11" t="s">
        <v>1167</v>
      </c>
      <c r="C462" s="7">
        <f t="shared" si="28"/>
        <v>6</v>
      </c>
      <c r="D462" s="7" t="str">
        <f t="shared" si="29"/>
        <v>Jun</v>
      </c>
      <c r="E462" s="7" t="s">
        <v>1350</v>
      </c>
      <c r="F462" s="7" t="str">
        <f t="shared" si="30"/>
        <v>Andi Wijaya</v>
      </c>
      <c r="G462" s="7" t="s">
        <v>1360</v>
      </c>
      <c r="H462" s="7" t="s">
        <v>1364</v>
      </c>
      <c r="I462" s="7">
        <v>3</v>
      </c>
      <c r="J462" s="7" t="str">
        <f>INDEX(Master_Produk!$C$2:$C$11,MATCH(H462,Master_Produk!$A$2:$A$11,0))</f>
        <v>Furnitur</v>
      </c>
      <c r="K462" s="8">
        <f>INDEX(Master_Produk!$E$2:$E$11,MATCH(Data_Transaksi!H462,Master_Produk!$A$2:$A$11,0))</f>
        <v>950000</v>
      </c>
      <c r="L462" s="8">
        <f t="shared" si="31"/>
        <v>2850000</v>
      </c>
      <c r="M462" s="8">
        <f>INDEX(Master_Target!$B$2:$M$4, MATCH(J462, Master_Target!$A$2:$A$4, 0), MATCH(TEXT(B462, "[$-421]mmmm"), Master_Target!$B$1:$M$1, 0))</f>
        <v>30000000</v>
      </c>
    </row>
    <row r="463" spans="1:13" x14ac:dyDescent="0.25">
      <c r="A463" s="7" t="s">
        <v>472</v>
      </c>
      <c r="B463" s="11" t="s">
        <v>1168</v>
      </c>
      <c r="C463" s="7">
        <f t="shared" si="28"/>
        <v>6</v>
      </c>
      <c r="D463" s="7" t="str">
        <f t="shared" si="29"/>
        <v>Jun</v>
      </c>
      <c r="E463" s="7" t="s">
        <v>1356</v>
      </c>
      <c r="F463" s="7" t="str">
        <f t="shared" si="30"/>
        <v>Eko Prasetyo</v>
      </c>
      <c r="G463" s="7" t="s">
        <v>1360</v>
      </c>
      <c r="H463" s="7" t="s">
        <v>1369</v>
      </c>
      <c r="I463" s="7">
        <v>1</v>
      </c>
      <c r="J463" s="7" t="str">
        <f>INDEX(Master_Produk!$C$2:$C$11,MATCH(H463,Master_Produk!$A$2:$A$11,0))</f>
        <v>Elektronik</v>
      </c>
      <c r="K463" s="8">
        <f>INDEX(Master_Produk!$E$2:$E$11,MATCH(Data_Transaksi!H463,Master_Produk!$A$2:$A$11,0))</f>
        <v>4500000</v>
      </c>
      <c r="L463" s="8">
        <f t="shared" si="31"/>
        <v>4500000</v>
      </c>
      <c r="M463" s="8">
        <f>INDEX(Master_Target!$B$2:$M$4, MATCH(J463, Master_Target!$A$2:$A$4, 0), MATCH(TEXT(B463, "[$-421]mmmm"), Master_Target!$B$1:$M$1, 0))</f>
        <v>75000000</v>
      </c>
    </row>
    <row r="464" spans="1:13" x14ac:dyDescent="0.25">
      <c r="A464" s="7" t="s">
        <v>473</v>
      </c>
      <c r="B464" s="11" t="s">
        <v>1169</v>
      </c>
      <c r="C464" s="7">
        <f t="shared" si="28"/>
        <v>6</v>
      </c>
      <c r="D464" s="7" t="str">
        <f t="shared" si="29"/>
        <v>Jun</v>
      </c>
      <c r="E464" s="7" t="s">
        <v>1354</v>
      </c>
      <c r="F464" s="7" t="str">
        <f t="shared" si="30"/>
        <v>Mega Utami</v>
      </c>
      <c r="G464" s="7" t="s">
        <v>1359</v>
      </c>
      <c r="H464" s="7" t="s">
        <v>1369</v>
      </c>
      <c r="I464" s="7">
        <v>1</v>
      </c>
      <c r="J464" s="7" t="str">
        <f>INDEX(Master_Produk!$C$2:$C$11,MATCH(H464,Master_Produk!$A$2:$A$11,0))</f>
        <v>Elektronik</v>
      </c>
      <c r="K464" s="8">
        <f>INDEX(Master_Produk!$E$2:$E$11,MATCH(Data_Transaksi!H464,Master_Produk!$A$2:$A$11,0))</f>
        <v>4500000</v>
      </c>
      <c r="L464" s="8">
        <f t="shared" si="31"/>
        <v>4500000</v>
      </c>
      <c r="M464" s="8">
        <f>INDEX(Master_Target!$B$2:$M$4, MATCH(J464, Master_Target!$A$2:$A$4, 0), MATCH(TEXT(B464, "[$-421]mmmm"), Master_Target!$B$1:$M$1, 0))</f>
        <v>75000000</v>
      </c>
    </row>
    <row r="465" spans="1:13" x14ac:dyDescent="0.25">
      <c r="A465" s="7" t="s">
        <v>474</v>
      </c>
      <c r="B465" s="11" t="s">
        <v>1169</v>
      </c>
      <c r="C465" s="7">
        <f t="shared" si="28"/>
        <v>6</v>
      </c>
      <c r="D465" s="7" t="str">
        <f t="shared" si="29"/>
        <v>Jun</v>
      </c>
      <c r="E465" s="7" t="s">
        <v>1347</v>
      </c>
      <c r="F465" s="7" t="str">
        <f t="shared" si="30"/>
        <v>Rina Marlina</v>
      </c>
      <c r="G465" s="7" t="s">
        <v>1358</v>
      </c>
      <c r="H465" s="7" t="s">
        <v>1362</v>
      </c>
      <c r="I465" s="7">
        <v>3</v>
      </c>
      <c r="J465" s="7" t="str">
        <f>INDEX(Master_Produk!$C$2:$C$11,MATCH(H465,Master_Produk!$A$2:$A$11,0))</f>
        <v>Pakaian</v>
      </c>
      <c r="K465" s="8">
        <f>INDEX(Master_Produk!$E$2:$E$11,MATCH(Data_Transaksi!H465,Master_Produk!$A$2:$A$11,0))</f>
        <v>350000</v>
      </c>
      <c r="L465" s="8">
        <f t="shared" si="31"/>
        <v>1050000</v>
      </c>
      <c r="M465" s="8">
        <f>INDEX(Master_Target!$B$2:$M$4, MATCH(J465, Master_Target!$A$2:$A$4, 0), MATCH(TEXT(B465, "[$-421]mmmm"), Master_Target!$B$1:$M$1, 0))</f>
        <v>22500000</v>
      </c>
    </row>
    <row r="466" spans="1:13" x14ac:dyDescent="0.25">
      <c r="A466" s="7" t="s">
        <v>475</v>
      </c>
      <c r="B466" s="11" t="s">
        <v>1169</v>
      </c>
      <c r="C466" s="7">
        <f t="shared" si="28"/>
        <v>6</v>
      </c>
      <c r="D466" s="7" t="str">
        <f t="shared" si="29"/>
        <v>Jun</v>
      </c>
      <c r="E466" s="7" t="s">
        <v>1356</v>
      </c>
      <c r="F466" s="7" t="str">
        <f t="shared" si="30"/>
        <v>Eko Prasetyo</v>
      </c>
      <c r="G466" s="7" t="s">
        <v>1360</v>
      </c>
      <c r="H466" s="7" t="s">
        <v>1366</v>
      </c>
      <c r="I466" s="7">
        <v>1</v>
      </c>
      <c r="J466" s="7" t="str">
        <f>INDEX(Master_Produk!$C$2:$C$11,MATCH(H466,Master_Produk!$A$2:$A$11,0))</f>
        <v>Elektronik</v>
      </c>
      <c r="K466" s="8">
        <f>INDEX(Master_Produk!$E$2:$E$11,MATCH(Data_Transaksi!H466,Master_Produk!$A$2:$A$11,0))</f>
        <v>7500000</v>
      </c>
      <c r="L466" s="8">
        <f t="shared" si="31"/>
        <v>7500000</v>
      </c>
      <c r="M466" s="8">
        <f>INDEX(Master_Target!$B$2:$M$4, MATCH(J466, Master_Target!$A$2:$A$4, 0), MATCH(TEXT(B466, "[$-421]mmmm"), Master_Target!$B$1:$M$1, 0))</f>
        <v>75000000</v>
      </c>
    </row>
    <row r="467" spans="1:13" x14ac:dyDescent="0.25">
      <c r="A467" s="7" t="s">
        <v>476</v>
      </c>
      <c r="B467" s="11" t="s">
        <v>1169</v>
      </c>
      <c r="C467" s="7">
        <f t="shared" si="28"/>
        <v>6</v>
      </c>
      <c r="D467" s="7" t="str">
        <f t="shared" si="29"/>
        <v>Jun</v>
      </c>
      <c r="E467" s="7" t="s">
        <v>1353</v>
      </c>
      <c r="F467" s="7" t="str">
        <f t="shared" si="30"/>
        <v>Sari Yuliana</v>
      </c>
      <c r="G467" s="7" t="s">
        <v>1358</v>
      </c>
      <c r="H467" s="7" t="s">
        <v>1367</v>
      </c>
      <c r="I467" s="7">
        <v>3</v>
      </c>
      <c r="J467" s="7" t="str">
        <f>INDEX(Master_Produk!$C$2:$C$11,MATCH(H467,Master_Produk!$A$2:$A$11,0))</f>
        <v>Elektronik</v>
      </c>
      <c r="K467" s="8">
        <f>INDEX(Master_Produk!$E$2:$E$11,MATCH(Data_Transaksi!H467,Master_Produk!$A$2:$A$11,0))</f>
        <v>250000</v>
      </c>
      <c r="L467" s="8">
        <f t="shared" si="31"/>
        <v>750000</v>
      </c>
      <c r="M467" s="8">
        <f>INDEX(Master_Target!$B$2:$M$4, MATCH(J467, Master_Target!$A$2:$A$4, 0), MATCH(TEXT(B467, "[$-421]mmmm"), Master_Target!$B$1:$M$1, 0))</f>
        <v>75000000</v>
      </c>
    </row>
    <row r="468" spans="1:13" x14ac:dyDescent="0.25">
      <c r="A468" s="7" t="s">
        <v>477</v>
      </c>
      <c r="B468" s="11" t="s">
        <v>1169</v>
      </c>
      <c r="C468" s="7">
        <f t="shared" si="28"/>
        <v>6</v>
      </c>
      <c r="D468" s="7" t="str">
        <f t="shared" si="29"/>
        <v>Jun</v>
      </c>
      <c r="E468" s="7" t="s">
        <v>1356</v>
      </c>
      <c r="F468" s="7" t="str">
        <f t="shared" si="30"/>
        <v>Eko Prasetyo</v>
      </c>
      <c r="G468" s="7" t="s">
        <v>1358</v>
      </c>
      <c r="H468" s="7" t="s">
        <v>1362</v>
      </c>
      <c r="I468" s="7">
        <v>3</v>
      </c>
      <c r="J468" s="7" t="str">
        <f>INDEX(Master_Produk!$C$2:$C$11,MATCH(H468,Master_Produk!$A$2:$A$11,0))</f>
        <v>Pakaian</v>
      </c>
      <c r="K468" s="8">
        <f>INDEX(Master_Produk!$E$2:$E$11,MATCH(Data_Transaksi!H468,Master_Produk!$A$2:$A$11,0))</f>
        <v>350000</v>
      </c>
      <c r="L468" s="8">
        <f t="shared" si="31"/>
        <v>1050000</v>
      </c>
      <c r="M468" s="8">
        <f>INDEX(Master_Target!$B$2:$M$4, MATCH(J468, Master_Target!$A$2:$A$4, 0), MATCH(TEXT(B468, "[$-421]mmmm"), Master_Target!$B$1:$M$1, 0))</f>
        <v>22500000</v>
      </c>
    </row>
    <row r="469" spans="1:13" x14ac:dyDescent="0.25">
      <c r="A469" s="7" t="s">
        <v>478</v>
      </c>
      <c r="B469" s="11" t="s">
        <v>1169</v>
      </c>
      <c r="C469" s="7">
        <f t="shared" si="28"/>
        <v>6</v>
      </c>
      <c r="D469" s="7" t="str">
        <f t="shared" si="29"/>
        <v>Jun</v>
      </c>
      <c r="E469" s="7" t="s">
        <v>1347</v>
      </c>
      <c r="F469" s="7" t="str">
        <f t="shared" si="30"/>
        <v>Rina Marlina</v>
      </c>
      <c r="G469" s="7" t="s">
        <v>1357</v>
      </c>
      <c r="H469" s="7" t="s">
        <v>1366</v>
      </c>
      <c r="I469" s="7">
        <v>2</v>
      </c>
      <c r="J469" s="7" t="str">
        <f>INDEX(Master_Produk!$C$2:$C$11,MATCH(H469,Master_Produk!$A$2:$A$11,0))</f>
        <v>Elektronik</v>
      </c>
      <c r="K469" s="8">
        <f>INDEX(Master_Produk!$E$2:$E$11,MATCH(Data_Transaksi!H469,Master_Produk!$A$2:$A$11,0))</f>
        <v>7500000</v>
      </c>
      <c r="L469" s="8">
        <f t="shared" si="31"/>
        <v>15000000</v>
      </c>
      <c r="M469" s="8">
        <f>INDEX(Master_Target!$B$2:$M$4, MATCH(J469, Master_Target!$A$2:$A$4, 0), MATCH(TEXT(B469, "[$-421]mmmm"), Master_Target!$B$1:$M$1, 0))</f>
        <v>75000000</v>
      </c>
    </row>
    <row r="470" spans="1:13" x14ac:dyDescent="0.25">
      <c r="A470" s="7" t="s">
        <v>479</v>
      </c>
      <c r="B470" s="11" t="s">
        <v>1170</v>
      </c>
      <c r="C470" s="7">
        <f t="shared" si="28"/>
        <v>6</v>
      </c>
      <c r="D470" s="7" t="str">
        <f t="shared" si="29"/>
        <v>Jun</v>
      </c>
      <c r="E470" s="7" t="s">
        <v>1349</v>
      </c>
      <c r="F470" s="7" t="str">
        <f t="shared" si="30"/>
        <v>Dewi Lestari</v>
      </c>
      <c r="G470" s="7" t="s">
        <v>1361</v>
      </c>
      <c r="H470" s="7" t="s">
        <v>1364</v>
      </c>
      <c r="I470" s="7">
        <v>1</v>
      </c>
      <c r="J470" s="7" t="str">
        <f>INDEX(Master_Produk!$C$2:$C$11,MATCH(H470,Master_Produk!$A$2:$A$11,0))</f>
        <v>Furnitur</v>
      </c>
      <c r="K470" s="8">
        <f>INDEX(Master_Produk!$E$2:$E$11,MATCH(Data_Transaksi!H470,Master_Produk!$A$2:$A$11,0))</f>
        <v>950000</v>
      </c>
      <c r="L470" s="8">
        <f t="shared" si="31"/>
        <v>950000</v>
      </c>
      <c r="M470" s="8">
        <f>INDEX(Master_Target!$B$2:$M$4, MATCH(J470, Master_Target!$A$2:$A$4, 0), MATCH(TEXT(B470, "[$-421]mmmm"), Master_Target!$B$1:$M$1, 0))</f>
        <v>30000000</v>
      </c>
    </row>
    <row r="471" spans="1:13" x14ac:dyDescent="0.25">
      <c r="A471" s="7" t="s">
        <v>480</v>
      </c>
      <c r="B471" s="11" t="s">
        <v>1171</v>
      </c>
      <c r="C471" s="7">
        <f t="shared" si="28"/>
        <v>6</v>
      </c>
      <c r="D471" s="7" t="str">
        <f t="shared" si="29"/>
        <v>Jun</v>
      </c>
      <c r="E471" s="7" t="s">
        <v>1352</v>
      </c>
      <c r="F471" s="7" t="str">
        <f t="shared" si="30"/>
        <v>Ahmad Fauzi</v>
      </c>
      <c r="G471" s="7" t="s">
        <v>1359</v>
      </c>
      <c r="H471" s="7" t="s">
        <v>1366</v>
      </c>
      <c r="I471" s="7">
        <v>1</v>
      </c>
      <c r="J471" s="7" t="str">
        <f>INDEX(Master_Produk!$C$2:$C$11,MATCH(H471,Master_Produk!$A$2:$A$11,0))</f>
        <v>Elektronik</v>
      </c>
      <c r="K471" s="8">
        <f>INDEX(Master_Produk!$E$2:$E$11,MATCH(Data_Transaksi!H471,Master_Produk!$A$2:$A$11,0))</f>
        <v>7500000</v>
      </c>
      <c r="L471" s="8">
        <f t="shared" si="31"/>
        <v>7500000</v>
      </c>
      <c r="M471" s="8">
        <f>INDEX(Master_Target!$B$2:$M$4, MATCH(J471, Master_Target!$A$2:$A$4, 0), MATCH(TEXT(B471, "[$-421]mmmm"), Master_Target!$B$1:$M$1, 0))</f>
        <v>75000000</v>
      </c>
    </row>
    <row r="472" spans="1:13" x14ac:dyDescent="0.25">
      <c r="A472" s="7" t="s">
        <v>481</v>
      </c>
      <c r="B472" s="11" t="s">
        <v>1171</v>
      </c>
      <c r="C472" s="7">
        <f t="shared" si="28"/>
        <v>6</v>
      </c>
      <c r="D472" s="7" t="str">
        <f t="shared" si="29"/>
        <v>Jun</v>
      </c>
      <c r="E472" s="7" t="s">
        <v>1349</v>
      </c>
      <c r="F472" s="7" t="str">
        <f t="shared" si="30"/>
        <v>Dewi Lestari</v>
      </c>
      <c r="G472" s="7" t="s">
        <v>1361</v>
      </c>
      <c r="H472" s="7" t="s">
        <v>1365</v>
      </c>
      <c r="I472" s="7">
        <v>2</v>
      </c>
      <c r="J472" s="7" t="str">
        <f>INDEX(Master_Produk!$C$2:$C$11,MATCH(H472,Master_Produk!$A$2:$A$11,0))</f>
        <v>Elektronik</v>
      </c>
      <c r="K472" s="8">
        <f>INDEX(Master_Produk!$E$2:$E$11,MATCH(Data_Transaksi!H472,Master_Produk!$A$2:$A$11,0))</f>
        <v>1800000</v>
      </c>
      <c r="L472" s="8">
        <f t="shared" si="31"/>
        <v>3600000</v>
      </c>
      <c r="M472" s="8">
        <f>INDEX(Master_Target!$B$2:$M$4, MATCH(J472, Master_Target!$A$2:$A$4, 0), MATCH(TEXT(B472, "[$-421]mmmm"), Master_Target!$B$1:$M$1, 0))</f>
        <v>75000000</v>
      </c>
    </row>
    <row r="473" spans="1:13" x14ac:dyDescent="0.25">
      <c r="A473" s="7" t="s">
        <v>482</v>
      </c>
      <c r="B473" s="11" t="s">
        <v>1171</v>
      </c>
      <c r="C473" s="7">
        <f t="shared" si="28"/>
        <v>6</v>
      </c>
      <c r="D473" s="7" t="str">
        <f t="shared" si="29"/>
        <v>Jun</v>
      </c>
      <c r="E473" s="7" t="s">
        <v>1354</v>
      </c>
      <c r="F473" s="7" t="str">
        <f t="shared" si="30"/>
        <v>Mega Utami</v>
      </c>
      <c r="G473" s="7" t="s">
        <v>1359</v>
      </c>
      <c r="H473" s="7" t="s">
        <v>1367</v>
      </c>
      <c r="I473" s="7">
        <v>10</v>
      </c>
      <c r="J473" s="7" t="str">
        <f>INDEX(Master_Produk!$C$2:$C$11,MATCH(H473,Master_Produk!$A$2:$A$11,0))</f>
        <v>Elektronik</v>
      </c>
      <c r="K473" s="8">
        <f>INDEX(Master_Produk!$E$2:$E$11,MATCH(Data_Transaksi!H473,Master_Produk!$A$2:$A$11,0))</f>
        <v>250000</v>
      </c>
      <c r="L473" s="8">
        <f t="shared" si="31"/>
        <v>2500000</v>
      </c>
      <c r="M473" s="8">
        <f>INDEX(Master_Target!$B$2:$M$4, MATCH(J473, Master_Target!$A$2:$A$4, 0), MATCH(TEXT(B473, "[$-421]mmmm"), Master_Target!$B$1:$M$1, 0))</f>
        <v>75000000</v>
      </c>
    </row>
    <row r="474" spans="1:13" x14ac:dyDescent="0.25">
      <c r="A474" s="7" t="s">
        <v>483</v>
      </c>
      <c r="B474" s="11" t="s">
        <v>1171</v>
      </c>
      <c r="C474" s="7">
        <f t="shared" si="28"/>
        <v>6</v>
      </c>
      <c r="D474" s="7" t="str">
        <f t="shared" si="29"/>
        <v>Jun</v>
      </c>
      <c r="E474" s="7" t="s">
        <v>1356</v>
      </c>
      <c r="F474" s="7" t="str">
        <f t="shared" si="30"/>
        <v>Eko Prasetyo</v>
      </c>
      <c r="G474" s="7" t="s">
        <v>1361</v>
      </c>
      <c r="H474" s="7" t="s">
        <v>1364</v>
      </c>
      <c r="I474" s="7">
        <v>2</v>
      </c>
      <c r="J474" s="7" t="str">
        <f>INDEX(Master_Produk!$C$2:$C$11,MATCH(H474,Master_Produk!$A$2:$A$11,0))</f>
        <v>Furnitur</v>
      </c>
      <c r="K474" s="8">
        <f>INDEX(Master_Produk!$E$2:$E$11,MATCH(Data_Transaksi!H474,Master_Produk!$A$2:$A$11,0))</f>
        <v>950000</v>
      </c>
      <c r="L474" s="8">
        <f t="shared" si="31"/>
        <v>1900000</v>
      </c>
      <c r="M474" s="8">
        <f>INDEX(Master_Target!$B$2:$M$4, MATCH(J474, Master_Target!$A$2:$A$4, 0), MATCH(TEXT(B474, "[$-421]mmmm"), Master_Target!$B$1:$M$1, 0))</f>
        <v>30000000</v>
      </c>
    </row>
    <row r="475" spans="1:13" x14ac:dyDescent="0.25">
      <c r="A475" s="7" t="s">
        <v>484</v>
      </c>
      <c r="B475" s="11" t="s">
        <v>1172</v>
      </c>
      <c r="C475" s="7">
        <f t="shared" si="28"/>
        <v>6</v>
      </c>
      <c r="D475" s="7" t="str">
        <f t="shared" si="29"/>
        <v>Jun</v>
      </c>
      <c r="E475" s="7" t="s">
        <v>1354</v>
      </c>
      <c r="F475" s="7" t="str">
        <f t="shared" si="30"/>
        <v>Mega Utami</v>
      </c>
      <c r="G475" s="7" t="s">
        <v>1359</v>
      </c>
      <c r="H475" s="7" t="s">
        <v>1368</v>
      </c>
      <c r="I475" s="7">
        <v>1</v>
      </c>
      <c r="J475" s="7" t="str">
        <f>INDEX(Master_Produk!$C$2:$C$11,MATCH(H475,Master_Produk!$A$2:$A$11,0))</f>
        <v>Furnitur</v>
      </c>
      <c r="K475" s="8">
        <f>INDEX(Master_Produk!$E$2:$E$11,MATCH(Data_Transaksi!H475,Master_Produk!$A$2:$A$11,0))</f>
        <v>650000</v>
      </c>
      <c r="L475" s="8">
        <f t="shared" si="31"/>
        <v>650000</v>
      </c>
      <c r="M475" s="8">
        <f>INDEX(Master_Target!$B$2:$M$4, MATCH(J475, Master_Target!$A$2:$A$4, 0), MATCH(TEXT(B475, "[$-421]mmmm"), Master_Target!$B$1:$M$1, 0))</f>
        <v>30000000</v>
      </c>
    </row>
    <row r="476" spans="1:13" x14ac:dyDescent="0.25">
      <c r="A476" s="7" t="s">
        <v>485</v>
      </c>
      <c r="B476" s="11" t="s">
        <v>1172</v>
      </c>
      <c r="C476" s="7">
        <f t="shared" si="28"/>
        <v>6</v>
      </c>
      <c r="D476" s="7" t="str">
        <f t="shared" si="29"/>
        <v>Jun</v>
      </c>
      <c r="E476" s="7" t="s">
        <v>1349</v>
      </c>
      <c r="F476" s="7" t="str">
        <f t="shared" si="30"/>
        <v>Dewi Lestari</v>
      </c>
      <c r="G476" s="7" t="s">
        <v>1361</v>
      </c>
      <c r="H476" s="7" t="s">
        <v>1364</v>
      </c>
      <c r="I476" s="7">
        <v>2</v>
      </c>
      <c r="J476" s="7" t="str">
        <f>INDEX(Master_Produk!$C$2:$C$11,MATCH(H476,Master_Produk!$A$2:$A$11,0))</f>
        <v>Furnitur</v>
      </c>
      <c r="K476" s="8">
        <f>INDEX(Master_Produk!$E$2:$E$11,MATCH(Data_Transaksi!H476,Master_Produk!$A$2:$A$11,0))</f>
        <v>950000</v>
      </c>
      <c r="L476" s="8">
        <f t="shared" si="31"/>
        <v>1900000</v>
      </c>
      <c r="M476" s="8">
        <f>INDEX(Master_Target!$B$2:$M$4, MATCH(J476, Master_Target!$A$2:$A$4, 0), MATCH(TEXT(B476, "[$-421]mmmm"), Master_Target!$B$1:$M$1, 0))</f>
        <v>30000000</v>
      </c>
    </row>
    <row r="477" spans="1:13" x14ac:dyDescent="0.25">
      <c r="A477" s="7" t="s">
        <v>486</v>
      </c>
      <c r="B477" s="11" t="s">
        <v>1172</v>
      </c>
      <c r="C477" s="7">
        <f t="shared" si="28"/>
        <v>6</v>
      </c>
      <c r="D477" s="7" t="str">
        <f t="shared" si="29"/>
        <v>Jun</v>
      </c>
      <c r="E477" s="7" t="s">
        <v>1352</v>
      </c>
      <c r="F477" s="7" t="str">
        <f t="shared" si="30"/>
        <v>Ahmad Fauzi</v>
      </c>
      <c r="G477" s="7" t="s">
        <v>1357</v>
      </c>
      <c r="H477" s="7" t="s">
        <v>1366</v>
      </c>
      <c r="I477" s="7">
        <v>2</v>
      </c>
      <c r="J477" s="7" t="str">
        <f>INDEX(Master_Produk!$C$2:$C$11,MATCH(H477,Master_Produk!$A$2:$A$11,0))</f>
        <v>Elektronik</v>
      </c>
      <c r="K477" s="8">
        <f>INDEX(Master_Produk!$E$2:$E$11,MATCH(Data_Transaksi!H477,Master_Produk!$A$2:$A$11,0))</f>
        <v>7500000</v>
      </c>
      <c r="L477" s="8">
        <f t="shared" si="31"/>
        <v>15000000</v>
      </c>
      <c r="M477" s="8">
        <f>INDEX(Master_Target!$B$2:$M$4, MATCH(J477, Master_Target!$A$2:$A$4, 0), MATCH(TEXT(B477, "[$-421]mmmm"), Master_Target!$B$1:$M$1, 0))</f>
        <v>75000000</v>
      </c>
    </row>
    <row r="478" spans="1:13" x14ac:dyDescent="0.25">
      <c r="A478" s="7" t="s">
        <v>487</v>
      </c>
      <c r="B478" s="11" t="s">
        <v>1172</v>
      </c>
      <c r="C478" s="7">
        <f t="shared" si="28"/>
        <v>6</v>
      </c>
      <c r="D478" s="7" t="str">
        <f t="shared" si="29"/>
        <v>Jun</v>
      </c>
      <c r="E478" s="7" t="s">
        <v>1351</v>
      </c>
      <c r="F478" s="7" t="str">
        <f t="shared" si="30"/>
        <v>Siti Rahma</v>
      </c>
      <c r="G478" s="7" t="s">
        <v>1358</v>
      </c>
      <c r="H478" s="7" t="s">
        <v>1370</v>
      </c>
      <c r="I478" s="7">
        <v>3</v>
      </c>
      <c r="J478" s="7" t="str">
        <f>INDEX(Master_Produk!$C$2:$C$11,MATCH(H478,Master_Produk!$A$2:$A$11,0))</f>
        <v>Furnitur</v>
      </c>
      <c r="K478" s="8">
        <f>INDEX(Master_Produk!$E$2:$E$11,MATCH(Data_Transaksi!H478,Master_Produk!$A$2:$A$11,0))</f>
        <v>1200000</v>
      </c>
      <c r="L478" s="8">
        <f t="shared" si="31"/>
        <v>3600000</v>
      </c>
      <c r="M478" s="8">
        <f>INDEX(Master_Target!$B$2:$M$4, MATCH(J478, Master_Target!$A$2:$A$4, 0), MATCH(TEXT(B478, "[$-421]mmmm"), Master_Target!$B$1:$M$1, 0))</f>
        <v>30000000</v>
      </c>
    </row>
    <row r="479" spans="1:13" x14ac:dyDescent="0.25">
      <c r="A479" s="7" t="s">
        <v>488</v>
      </c>
      <c r="B479" s="11" t="s">
        <v>1172</v>
      </c>
      <c r="C479" s="7">
        <f t="shared" si="28"/>
        <v>6</v>
      </c>
      <c r="D479" s="7" t="str">
        <f t="shared" si="29"/>
        <v>Jun</v>
      </c>
      <c r="E479" s="7" t="s">
        <v>1350</v>
      </c>
      <c r="F479" s="7" t="str">
        <f t="shared" si="30"/>
        <v>Andi Wijaya</v>
      </c>
      <c r="G479" s="7" t="s">
        <v>1359</v>
      </c>
      <c r="H479" s="7" t="s">
        <v>1368</v>
      </c>
      <c r="I479" s="7">
        <v>1</v>
      </c>
      <c r="J479" s="7" t="str">
        <f>INDEX(Master_Produk!$C$2:$C$11,MATCH(H479,Master_Produk!$A$2:$A$11,0))</f>
        <v>Furnitur</v>
      </c>
      <c r="K479" s="8">
        <f>INDEX(Master_Produk!$E$2:$E$11,MATCH(Data_Transaksi!H479,Master_Produk!$A$2:$A$11,0))</f>
        <v>650000</v>
      </c>
      <c r="L479" s="8">
        <f t="shared" si="31"/>
        <v>650000</v>
      </c>
      <c r="M479" s="8">
        <f>INDEX(Master_Target!$B$2:$M$4, MATCH(J479, Master_Target!$A$2:$A$4, 0), MATCH(TEXT(B479, "[$-421]mmmm"), Master_Target!$B$1:$M$1, 0))</f>
        <v>30000000</v>
      </c>
    </row>
    <row r="480" spans="1:13" x14ac:dyDescent="0.25">
      <c r="A480" s="7" t="s">
        <v>489</v>
      </c>
      <c r="B480" s="11" t="s">
        <v>1172</v>
      </c>
      <c r="C480" s="7">
        <f t="shared" si="28"/>
        <v>6</v>
      </c>
      <c r="D480" s="7" t="str">
        <f t="shared" si="29"/>
        <v>Jun</v>
      </c>
      <c r="E480" s="7" t="s">
        <v>1354</v>
      </c>
      <c r="F480" s="7" t="str">
        <f t="shared" si="30"/>
        <v>Mega Utami</v>
      </c>
      <c r="G480" s="7" t="s">
        <v>1358</v>
      </c>
      <c r="H480" s="7" t="s">
        <v>1363</v>
      </c>
      <c r="I480" s="7">
        <v>3</v>
      </c>
      <c r="J480" s="7" t="str">
        <f>INDEX(Master_Produk!$C$2:$C$11,MATCH(H480,Master_Produk!$A$2:$A$11,0))</f>
        <v>Pakaian</v>
      </c>
      <c r="K480" s="8">
        <f>INDEX(Master_Produk!$E$2:$E$11,MATCH(Data_Transaksi!H480,Master_Produk!$A$2:$A$11,0))</f>
        <v>250000</v>
      </c>
      <c r="L480" s="8">
        <f t="shared" si="31"/>
        <v>750000</v>
      </c>
      <c r="M480" s="8">
        <f>INDEX(Master_Target!$B$2:$M$4, MATCH(J480, Master_Target!$A$2:$A$4, 0), MATCH(TEXT(B480, "[$-421]mmmm"), Master_Target!$B$1:$M$1, 0))</f>
        <v>22500000</v>
      </c>
    </row>
    <row r="481" spans="1:13" x14ac:dyDescent="0.25">
      <c r="A481" s="7" t="s">
        <v>490</v>
      </c>
      <c r="B481" s="11" t="s">
        <v>1173</v>
      </c>
      <c r="C481" s="7">
        <f t="shared" si="28"/>
        <v>6</v>
      </c>
      <c r="D481" s="7" t="str">
        <f t="shared" si="29"/>
        <v>Jun</v>
      </c>
      <c r="E481" s="7" t="s">
        <v>1354</v>
      </c>
      <c r="F481" s="7" t="str">
        <f t="shared" si="30"/>
        <v>Mega Utami</v>
      </c>
      <c r="G481" s="7" t="s">
        <v>1359</v>
      </c>
      <c r="H481" s="7" t="s">
        <v>1364</v>
      </c>
      <c r="I481" s="7">
        <v>2</v>
      </c>
      <c r="J481" s="7" t="str">
        <f>INDEX(Master_Produk!$C$2:$C$11,MATCH(H481,Master_Produk!$A$2:$A$11,0))</f>
        <v>Furnitur</v>
      </c>
      <c r="K481" s="8">
        <f>INDEX(Master_Produk!$E$2:$E$11,MATCH(Data_Transaksi!H481,Master_Produk!$A$2:$A$11,0))</f>
        <v>950000</v>
      </c>
      <c r="L481" s="8">
        <f t="shared" si="31"/>
        <v>1900000</v>
      </c>
      <c r="M481" s="8">
        <f>INDEX(Master_Target!$B$2:$M$4, MATCH(J481, Master_Target!$A$2:$A$4, 0), MATCH(TEXT(B481, "[$-421]mmmm"), Master_Target!$B$1:$M$1, 0))</f>
        <v>30000000</v>
      </c>
    </row>
    <row r="482" spans="1:13" x14ac:dyDescent="0.25">
      <c r="A482" s="7" t="s">
        <v>491</v>
      </c>
      <c r="B482" s="11" t="s">
        <v>1173</v>
      </c>
      <c r="C482" s="7">
        <f t="shared" si="28"/>
        <v>6</v>
      </c>
      <c r="D482" s="7" t="str">
        <f t="shared" si="29"/>
        <v>Jun</v>
      </c>
      <c r="E482" s="7" t="s">
        <v>1351</v>
      </c>
      <c r="F482" s="7" t="str">
        <f t="shared" si="30"/>
        <v>Siti Rahma</v>
      </c>
      <c r="G482" s="7" t="s">
        <v>1359</v>
      </c>
      <c r="H482" s="7" t="s">
        <v>1362</v>
      </c>
      <c r="I482" s="7">
        <v>5</v>
      </c>
      <c r="J482" s="7" t="str">
        <f>INDEX(Master_Produk!$C$2:$C$11,MATCH(H482,Master_Produk!$A$2:$A$11,0))</f>
        <v>Pakaian</v>
      </c>
      <c r="K482" s="8">
        <f>INDEX(Master_Produk!$E$2:$E$11,MATCH(Data_Transaksi!H482,Master_Produk!$A$2:$A$11,0))</f>
        <v>350000</v>
      </c>
      <c r="L482" s="8">
        <f t="shared" si="31"/>
        <v>1750000</v>
      </c>
      <c r="M482" s="8">
        <f>INDEX(Master_Target!$B$2:$M$4, MATCH(J482, Master_Target!$A$2:$A$4, 0), MATCH(TEXT(B482, "[$-421]mmmm"), Master_Target!$B$1:$M$1, 0))</f>
        <v>22500000</v>
      </c>
    </row>
    <row r="483" spans="1:13" x14ac:dyDescent="0.25">
      <c r="A483" s="7" t="s">
        <v>492</v>
      </c>
      <c r="B483" s="11" t="s">
        <v>1174</v>
      </c>
      <c r="C483" s="7">
        <f t="shared" si="28"/>
        <v>6</v>
      </c>
      <c r="D483" s="7" t="str">
        <f t="shared" si="29"/>
        <v>Jun</v>
      </c>
      <c r="E483" s="7" t="s">
        <v>1353</v>
      </c>
      <c r="F483" s="7" t="str">
        <f t="shared" si="30"/>
        <v>Sari Yuliana</v>
      </c>
      <c r="G483" s="7" t="s">
        <v>1357</v>
      </c>
      <c r="H483" s="7" t="s">
        <v>1371</v>
      </c>
      <c r="I483" s="7">
        <v>1</v>
      </c>
      <c r="J483" s="7" t="str">
        <f>INDEX(Master_Produk!$C$2:$C$11,MATCH(H483,Master_Produk!$A$2:$A$11,0))</f>
        <v>Pakaian</v>
      </c>
      <c r="K483" s="8">
        <f>INDEX(Master_Produk!$E$2:$E$11,MATCH(Data_Transaksi!H483,Master_Produk!$A$2:$A$11,0))</f>
        <v>280000</v>
      </c>
      <c r="L483" s="8">
        <f t="shared" si="31"/>
        <v>280000</v>
      </c>
      <c r="M483" s="8">
        <f>INDEX(Master_Target!$B$2:$M$4, MATCH(J483, Master_Target!$A$2:$A$4, 0), MATCH(TEXT(B483, "[$-421]mmmm"), Master_Target!$B$1:$M$1, 0))</f>
        <v>22500000</v>
      </c>
    </row>
    <row r="484" spans="1:13" x14ac:dyDescent="0.25">
      <c r="A484" s="7" t="s">
        <v>493</v>
      </c>
      <c r="B484" s="11" t="s">
        <v>1175</v>
      </c>
      <c r="C484" s="7">
        <f t="shared" si="28"/>
        <v>6</v>
      </c>
      <c r="D484" s="7" t="str">
        <f t="shared" si="29"/>
        <v>Jun</v>
      </c>
      <c r="E484" s="7" t="s">
        <v>1353</v>
      </c>
      <c r="F484" s="7" t="str">
        <f t="shared" si="30"/>
        <v>Sari Yuliana</v>
      </c>
      <c r="G484" s="7" t="s">
        <v>1361</v>
      </c>
      <c r="H484" s="7" t="s">
        <v>1362</v>
      </c>
      <c r="I484" s="7">
        <v>2</v>
      </c>
      <c r="J484" s="7" t="str">
        <f>INDEX(Master_Produk!$C$2:$C$11,MATCH(H484,Master_Produk!$A$2:$A$11,0))</f>
        <v>Pakaian</v>
      </c>
      <c r="K484" s="8">
        <f>INDEX(Master_Produk!$E$2:$E$11,MATCH(Data_Transaksi!H484,Master_Produk!$A$2:$A$11,0))</f>
        <v>350000</v>
      </c>
      <c r="L484" s="8">
        <f t="shared" si="31"/>
        <v>700000</v>
      </c>
      <c r="M484" s="8">
        <f>INDEX(Master_Target!$B$2:$M$4, MATCH(J484, Master_Target!$A$2:$A$4, 0), MATCH(TEXT(B484, "[$-421]mmmm"), Master_Target!$B$1:$M$1, 0))</f>
        <v>22500000</v>
      </c>
    </row>
    <row r="485" spans="1:13" x14ac:dyDescent="0.25">
      <c r="A485" s="7" t="s">
        <v>494</v>
      </c>
      <c r="B485" s="11" t="s">
        <v>1175</v>
      </c>
      <c r="C485" s="7">
        <f t="shared" si="28"/>
        <v>6</v>
      </c>
      <c r="D485" s="7" t="str">
        <f t="shared" si="29"/>
        <v>Jun</v>
      </c>
      <c r="E485" s="7" t="s">
        <v>1349</v>
      </c>
      <c r="F485" s="7" t="str">
        <f t="shared" si="30"/>
        <v>Dewi Lestari</v>
      </c>
      <c r="G485" s="7" t="s">
        <v>1359</v>
      </c>
      <c r="H485" s="7" t="s">
        <v>1362</v>
      </c>
      <c r="I485" s="7">
        <v>5</v>
      </c>
      <c r="J485" s="7" t="str">
        <f>INDEX(Master_Produk!$C$2:$C$11,MATCH(H485,Master_Produk!$A$2:$A$11,0))</f>
        <v>Pakaian</v>
      </c>
      <c r="K485" s="8">
        <f>INDEX(Master_Produk!$E$2:$E$11,MATCH(Data_Transaksi!H485,Master_Produk!$A$2:$A$11,0))</f>
        <v>350000</v>
      </c>
      <c r="L485" s="8">
        <f t="shared" si="31"/>
        <v>1750000</v>
      </c>
      <c r="M485" s="8">
        <f>INDEX(Master_Target!$B$2:$M$4, MATCH(J485, Master_Target!$A$2:$A$4, 0), MATCH(TEXT(B485, "[$-421]mmmm"), Master_Target!$B$1:$M$1, 0))</f>
        <v>22500000</v>
      </c>
    </row>
    <row r="486" spans="1:13" x14ac:dyDescent="0.25">
      <c r="A486" s="7" t="s">
        <v>495</v>
      </c>
      <c r="B486" s="11" t="s">
        <v>1176</v>
      </c>
      <c r="C486" s="7">
        <f t="shared" si="28"/>
        <v>6</v>
      </c>
      <c r="D486" s="7" t="str">
        <f t="shared" si="29"/>
        <v>Jun</v>
      </c>
      <c r="E486" s="7" t="s">
        <v>1354</v>
      </c>
      <c r="F486" s="7" t="str">
        <f t="shared" si="30"/>
        <v>Mega Utami</v>
      </c>
      <c r="G486" s="7" t="s">
        <v>1361</v>
      </c>
      <c r="H486" s="7" t="s">
        <v>1371</v>
      </c>
      <c r="I486" s="7">
        <v>1</v>
      </c>
      <c r="J486" s="7" t="str">
        <f>INDEX(Master_Produk!$C$2:$C$11,MATCH(H486,Master_Produk!$A$2:$A$11,0))</f>
        <v>Pakaian</v>
      </c>
      <c r="K486" s="8">
        <f>INDEX(Master_Produk!$E$2:$E$11,MATCH(Data_Transaksi!H486,Master_Produk!$A$2:$A$11,0))</f>
        <v>280000</v>
      </c>
      <c r="L486" s="8">
        <f t="shared" si="31"/>
        <v>280000</v>
      </c>
      <c r="M486" s="8">
        <f>INDEX(Master_Target!$B$2:$M$4, MATCH(J486, Master_Target!$A$2:$A$4, 0), MATCH(TEXT(B486, "[$-421]mmmm"), Master_Target!$B$1:$M$1, 0))</f>
        <v>22500000</v>
      </c>
    </row>
    <row r="487" spans="1:13" x14ac:dyDescent="0.25">
      <c r="A487" s="7" t="s">
        <v>496</v>
      </c>
      <c r="B487" s="11" t="s">
        <v>1176</v>
      </c>
      <c r="C487" s="7">
        <f t="shared" si="28"/>
        <v>6</v>
      </c>
      <c r="D487" s="7" t="str">
        <f t="shared" si="29"/>
        <v>Jun</v>
      </c>
      <c r="E487" s="7" t="s">
        <v>1352</v>
      </c>
      <c r="F487" s="7" t="str">
        <f t="shared" si="30"/>
        <v>Ahmad Fauzi</v>
      </c>
      <c r="G487" s="7" t="s">
        <v>1357</v>
      </c>
      <c r="H487" s="7" t="s">
        <v>1364</v>
      </c>
      <c r="I487" s="7">
        <v>5</v>
      </c>
      <c r="J487" s="7" t="str">
        <f>INDEX(Master_Produk!$C$2:$C$11,MATCH(H487,Master_Produk!$A$2:$A$11,0))</f>
        <v>Furnitur</v>
      </c>
      <c r="K487" s="8">
        <f>INDEX(Master_Produk!$E$2:$E$11,MATCH(Data_Transaksi!H487,Master_Produk!$A$2:$A$11,0))</f>
        <v>950000</v>
      </c>
      <c r="L487" s="8">
        <f t="shared" si="31"/>
        <v>4750000</v>
      </c>
      <c r="M487" s="8">
        <f>INDEX(Master_Target!$B$2:$M$4, MATCH(J487, Master_Target!$A$2:$A$4, 0), MATCH(TEXT(B487, "[$-421]mmmm"), Master_Target!$B$1:$M$1, 0))</f>
        <v>30000000</v>
      </c>
    </row>
    <row r="488" spans="1:13" x14ac:dyDescent="0.25">
      <c r="A488" s="7" t="s">
        <v>497</v>
      </c>
      <c r="B488" s="11" t="s">
        <v>1176</v>
      </c>
      <c r="C488" s="7">
        <f t="shared" si="28"/>
        <v>6</v>
      </c>
      <c r="D488" s="7" t="str">
        <f t="shared" si="29"/>
        <v>Jun</v>
      </c>
      <c r="E488" s="7" t="s">
        <v>1348</v>
      </c>
      <c r="F488" s="7" t="str">
        <f t="shared" si="30"/>
        <v>Budi Santoso</v>
      </c>
      <c r="G488" s="7" t="s">
        <v>1360</v>
      </c>
      <c r="H488" s="7" t="s">
        <v>1363</v>
      </c>
      <c r="I488" s="7">
        <v>2</v>
      </c>
      <c r="J488" s="7" t="str">
        <f>INDEX(Master_Produk!$C$2:$C$11,MATCH(H488,Master_Produk!$A$2:$A$11,0))</f>
        <v>Pakaian</v>
      </c>
      <c r="K488" s="8">
        <f>INDEX(Master_Produk!$E$2:$E$11,MATCH(Data_Transaksi!H488,Master_Produk!$A$2:$A$11,0))</f>
        <v>250000</v>
      </c>
      <c r="L488" s="8">
        <f t="shared" si="31"/>
        <v>500000</v>
      </c>
      <c r="M488" s="8">
        <f>INDEX(Master_Target!$B$2:$M$4, MATCH(J488, Master_Target!$A$2:$A$4, 0), MATCH(TEXT(B488, "[$-421]mmmm"), Master_Target!$B$1:$M$1, 0))</f>
        <v>22500000</v>
      </c>
    </row>
    <row r="489" spans="1:13" x14ac:dyDescent="0.25">
      <c r="A489" s="7" t="s">
        <v>498</v>
      </c>
      <c r="B489" s="11" t="s">
        <v>1176</v>
      </c>
      <c r="C489" s="7">
        <f t="shared" si="28"/>
        <v>6</v>
      </c>
      <c r="D489" s="7" t="str">
        <f t="shared" si="29"/>
        <v>Jun</v>
      </c>
      <c r="E489" s="7" t="s">
        <v>1349</v>
      </c>
      <c r="F489" s="7" t="str">
        <f t="shared" si="30"/>
        <v>Dewi Lestari</v>
      </c>
      <c r="G489" s="7" t="s">
        <v>1358</v>
      </c>
      <c r="H489" s="7" t="s">
        <v>1370</v>
      </c>
      <c r="I489" s="7">
        <v>1</v>
      </c>
      <c r="J489" s="7" t="str">
        <f>INDEX(Master_Produk!$C$2:$C$11,MATCH(H489,Master_Produk!$A$2:$A$11,0))</f>
        <v>Furnitur</v>
      </c>
      <c r="K489" s="8">
        <f>INDEX(Master_Produk!$E$2:$E$11,MATCH(Data_Transaksi!H489,Master_Produk!$A$2:$A$11,0))</f>
        <v>1200000</v>
      </c>
      <c r="L489" s="8">
        <f t="shared" si="31"/>
        <v>1200000</v>
      </c>
      <c r="M489" s="8">
        <f>INDEX(Master_Target!$B$2:$M$4, MATCH(J489, Master_Target!$A$2:$A$4, 0), MATCH(TEXT(B489, "[$-421]mmmm"), Master_Target!$B$1:$M$1, 0))</f>
        <v>30000000</v>
      </c>
    </row>
    <row r="490" spans="1:13" x14ac:dyDescent="0.25">
      <c r="A490" s="7" t="s">
        <v>499</v>
      </c>
      <c r="B490" s="11" t="s">
        <v>1177</v>
      </c>
      <c r="C490" s="7">
        <f t="shared" si="28"/>
        <v>6</v>
      </c>
      <c r="D490" s="7" t="str">
        <f t="shared" si="29"/>
        <v>Jun</v>
      </c>
      <c r="E490" s="7" t="s">
        <v>1349</v>
      </c>
      <c r="F490" s="7" t="str">
        <f t="shared" si="30"/>
        <v>Dewi Lestari</v>
      </c>
      <c r="G490" s="7" t="s">
        <v>1359</v>
      </c>
      <c r="H490" s="7" t="s">
        <v>1368</v>
      </c>
      <c r="I490" s="7">
        <v>1</v>
      </c>
      <c r="J490" s="7" t="str">
        <f>INDEX(Master_Produk!$C$2:$C$11,MATCH(H490,Master_Produk!$A$2:$A$11,0))</f>
        <v>Furnitur</v>
      </c>
      <c r="K490" s="8">
        <f>INDEX(Master_Produk!$E$2:$E$11,MATCH(Data_Transaksi!H490,Master_Produk!$A$2:$A$11,0))</f>
        <v>650000</v>
      </c>
      <c r="L490" s="8">
        <f t="shared" si="31"/>
        <v>650000</v>
      </c>
      <c r="M490" s="8">
        <f>INDEX(Master_Target!$B$2:$M$4, MATCH(J490, Master_Target!$A$2:$A$4, 0), MATCH(TEXT(B490, "[$-421]mmmm"), Master_Target!$B$1:$M$1, 0))</f>
        <v>30000000</v>
      </c>
    </row>
    <row r="491" spans="1:13" x14ac:dyDescent="0.25">
      <c r="A491" s="7" t="s">
        <v>500</v>
      </c>
      <c r="B491" s="11" t="s">
        <v>1177</v>
      </c>
      <c r="C491" s="7">
        <f t="shared" si="28"/>
        <v>6</v>
      </c>
      <c r="D491" s="7" t="str">
        <f t="shared" si="29"/>
        <v>Jun</v>
      </c>
      <c r="E491" s="7" t="s">
        <v>1350</v>
      </c>
      <c r="F491" s="7" t="str">
        <f t="shared" si="30"/>
        <v>Andi Wijaya</v>
      </c>
      <c r="G491" s="7" t="s">
        <v>1357</v>
      </c>
      <c r="H491" s="7" t="s">
        <v>1364</v>
      </c>
      <c r="I491" s="7">
        <v>3</v>
      </c>
      <c r="J491" s="7" t="str">
        <f>INDEX(Master_Produk!$C$2:$C$11,MATCH(H491,Master_Produk!$A$2:$A$11,0))</f>
        <v>Furnitur</v>
      </c>
      <c r="K491" s="8">
        <f>INDEX(Master_Produk!$E$2:$E$11,MATCH(Data_Transaksi!H491,Master_Produk!$A$2:$A$11,0))</f>
        <v>950000</v>
      </c>
      <c r="L491" s="8">
        <f t="shared" si="31"/>
        <v>2850000</v>
      </c>
      <c r="M491" s="8">
        <f>INDEX(Master_Target!$B$2:$M$4, MATCH(J491, Master_Target!$A$2:$A$4, 0), MATCH(TEXT(B491, "[$-421]mmmm"), Master_Target!$B$1:$M$1, 0))</f>
        <v>30000000</v>
      </c>
    </row>
    <row r="492" spans="1:13" x14ac:dyDescent="0.25">
      <c r="A492" s="7" t="s">
        <v>501</v>
      </c>
      <c r="B492" s="11" t="s">
        <v>1178</v>
      </c>
      <c r="C492" s="7">
        <f t="shared" si="28"/>
        <v>6</v>
      </c>
      <c r="D492" s="7" t="str">
        <f t="shared" si="29"/>
        <v>Jun</v>
      </c>
      <c r="E492" s="7" t="s">
        <v>1354</v>
      </c>
      <c r="F492" s="7" t="str">
        <f t="shared" si="30"/>
        <v>Mega Utami</v>
      </c>
      <c r="G492" s="7" t="s">
        <v>1361</v>
      </c>
      <c r="H492" s="7" t="s">
        <v>1365</v>
      </c>
      <c r="I492" s="7">
        <v>1</v>
      </c>
      <c r="J492" s="7" t="str">
        <f>INDEX(Master_Produk!$C$2:$C$11,MATCH(H492,Master_Produk!$A$2:$A$11,0))</f>
        <v>Elektronik</v>
      </c>
      <c r="K492" s="8">
        <f>INDEX(Master_Produk!$E$2:$E$11,MATCH(Data_Transaksi!H492,Master_Produk!$A$2:$A$11,0))</f>
        <v>1800000</v>
      </c>
      <c r="L492" s="8">
        <f t="shared" si="31"/>
        <v>1800000</v>
      </c>
      <c r="M492" s="8">
        <f>INDEX(Master_Target!$B$2:$M$4, MATCH(J492, Master_Target!$A$2:$A$4, 0), MATCH(TEXT(B492, "[$-421]mmmm"), Master_Target!$B$1:$M$1, 0))</f>
        <v>75000000</v>
      </c>
    </row>
    <row r="493" spans="1:13" x14ac:dyDescent="0.25">
      <c r="A493" s="7" t="s">
        <v>502</v>
      </c>
      <c r="B493" s="11" t="s">
        <v>1178</v>
      </c>
      <c r="C493" s="7">
        <f t="shared" si="28"/>
        <v>6</v>
      </c>
      <c r="D493" s="7" t="str">
        <f t="shared" si="29"/>
        <v>Jun</v>
      </c>
      <c r="E493" s="7" t="s">
        <v>1353</v>
      </c>
      <c r="F493" s="7" t="str">
        <f t="shared" si="30"/>
        <v>Sari Yuliana</v>
      </c>
      <c r="G493" s="7" t="s">
        <v>1359</v>
      </c>
      <c r="H493" s="7" t="s">
        <v>1363</v>
      </c>
      <c r="I493" s="7">
        <v>2</v>
      </c>
      <c r="J493" s="7" t="str">
        <f>INDEX(Master_Produk!$C$2:$C$11,MATCH(H493,Master_Produk!$A$2:$A$11,0))</f>
        <v>Pakaian</v>
      </c>
      <c r="K493" s="8">
        <f>INDEX(Master_Produk!$E$2:$E$11,MATCH(Data_Transaksi!H493,Master_Produk!$A$2:$A$11,0))</f>
        <v>250000</v>
      </c>
      <c r="L493" s="8">
        <f t="shared" si="31"/>
        <v>500000</v>
      </c>
      <c r="M493" s="8">
        <f>INDEX(Master_Target!$B$2:$M$4, MATCH(J493, Master_Target!$A$2:$A$4, 0), MATCH(TEXT(B493, "[$-421]mmmm"), Master_Target!$B$1:$M$1, 0))</f>
        <v>22500000</v>
      </c>
    </row>
    <row r="494" spans="1:13" x14ac:dyDescent="0.25">
      <c r="A494" s="7" t="s">
        <v>503</v>
      </c>
      <c r="B494" s="11" t="s">
        <v>1179</v>
      </c>
      <c r="C494" s="7">
        <f t="shared" si="28"/>
        <v>6</v>
      </c>
      <c r="D494" s="7" t="str">
        <f t="shared" si="29"/>
        <v>Jun</v>
      </c>
      <c r="E494" s="7" t="s">
        <v>1353</v>
      </c>
      <c r="F494" s="7" t="str">
        <f t="shared" si="30"/>
        <v>Sari Yuliana</v>
      </c>
      <c r="G494" s="7" t="s">
        <v>1361</v>
      </c>
      <c r="H494" s="7" t="s">
        <v>1363</v>
      </c>
      <c r="I494" s="7">
        <v>1</v>
      </c>
      <c r="J494" s="7" t="str">
        <f>INDEX(Master_Produk!$C$2:$C$11,MATCH(H494,Master_Produk!$A$2:$A$11,0))</f>
        <v>Pakaian</v>
      </c>
      <c r="K494" s="8">
        <f>INDEX(Master_Produk!$E$2:$E$11,MATCH(Data_Transaksi!H494,Master_Produk!$A$2:$A$11,0))</f>
        <v>250000</v>
      </c>
      <c r="L494" s="8">
        <f t="shared" si="31"/>
        <v>250000</v>
      </c>
      <c r="M494" s="8">
        <f>INDEX(Master_Target!$B$2:$M$4, MATCH(J494, Master_Target!$A$2:$A$4, 0), MATCH(TEXT(B494, "[$-421]mmmm"), Master_Target!$B$1:$M$1, 0))</f>
        <v>22500000</v>
      </c>
    </row>
    <row r="495" spans="1:13" x14ac:dyDescent="0.25">
      <c r="A495" s="7" t="s">
        <v>504</v>
      </c>
      <c r="B495" s="11" t="s">
        <v>1179</v>
      </c>
      <c r="C495" s="7">
        <f t="shared" si="28"/>
        <v>6</v>
      </c>
      <c r="D495" s="7" t="str">
        <f t="shared" si="29"/>
        <v>Jun</v>
      </c>
      <c r="E495" s="7" t="s">
        <v>1356</v>
      </c>
      <c r="F495" s="7" t="str">
        <f t="shared" si="30"/>
        <v>Eko Prasetyo</v>
      </c>
      <c r="G495" s="7" t="s">
        <v>1360</v>
      </c>
      <c r="H495" s="7" t="s">
        <v>1366</v>
      </c>
      <c r="I495" s="7">
        <v>2</v>
      </c>
      <c r="J495" s="7" t="str">
        <f>INDEX(Master_Produk!$C$2:$C$11,MATCH(H495,Master_Produk!$A$2:$A$11,0))</f>
        <v>Elektronik</v>
      </c>
      <c r="K495" s="8">
        <f>INDEX(Master_Produk!$E$2:$E$11,MATCH(Data_Transaksi!H495,Master_Produk!$A$2:$A$11,0))</f>
        <v>7500000</v>
      </c>
      <c r="L495" s="8">
        <f t="shared" si="31"/>
        <v>15000000</v>
      </c>
      <c r="M495" s="8">
        <f>INDEX(Master_Target!$B$2:$M$4, MATCH(J495, Master_Target!$A$2:$A$4, 0), MATCH(TEXT(B495, "[$-421]mmmm"), Master_Target!$B$1:$M$1, 0))</f>
        <v>75000000</v>
      </c>
    </row>
    <row r="496" spans="1:13" x14ac:dyDescent="0.25">
      <c r="A496" s="7" t="s">
        <v>505</v>
      </c>
      <c r="B496" s="11" t="s">
        <v>1179</v>
      </c>
      <c r="C496" s="7">
        <f t="shared" si="28"/>
        <v>6</v>
      </c>
      <c r="D496" s="7" t="str">
        <f t="shared" si="29"/>
        <v>Jun</v>
      </c>
      <c r="E496" s="7" t="s">
        <v>1355</v>
      </c>
      <c r="F496" s="7" t="str">
        <f t="shared" si="30"/>
        <v>Bambang H.</v>
      </c>
      <c r="G496" s="7" t="s">
        <v>1359</v>
      </c>
      <c r="H496" s="7" t="s">
        <v>1368</v>
      </c>
      <c r="I496" s="7">
        <v>1</v>
      </c>
      <c r="J496" s="7" t="str">
        <f>INDEX(Master_Produk!$C$2:$C$11,MATCH(H496,Master_Produk!$A$2:$A$11,0))</f>
        <v>Furnitur</v>
      </c>
      <c r="K496" s="8">
        <f>INDEX(Master_Produk!$E$2:$E$11,MATCH(Data_Transaksi!H496,Master_Produk!$A$2:$A$11,0))</f>
        <v>650000</v>
      </c>
      <c r="L496" s="8">
        <f t="shared" si="31"/>
        <v>650000</v>
      </c>
      <c r="M496" s="8">
        <f>INDEX(Master_Target!$B$2:$M$4, MATCH(J496, Master_Target!$A$2:$A$4, 0), MATCH(TEXT(B496, "[$-421]mmmm"), Master_Target!$B$1:$M$1, 0))</f>
        <v>30000000</v>
      </c>
    </row>
    <row r="497" spans="1:13" x14ac:dyDescent="0.25">
      <c r="A497" s="7" t="s">
        <v>506</v>
      </c>
      <c r="B497" s="11" t="s">
        <v>1179</v>
      </c>
      <c r="C497" s="7">
        <f t="shared" si="28"/>
        <v>6</v>
      </c>
      <c r="D497" s="7" t="str">
        <f t="shared" si="29"/>
        <v>Jun</v>
      </c>
      <c r="E497" s="7" t="s">
        <v>1355</v>
      </c>
      <c r="F497" s="7" t="str">
        <f t="shared" si="30"/>
        <v>Bambang H.</v>
      </c>
      <c r="G497" s="7" t="s">
        <v>1358</v>
      </c>
      <c r="H497" s="7" t="s">
        <v>1362</v>
      </c>
      <c r="I497" s="7">
        <v>4</v>
      </c>
      <c r="J497" s="7" t="str">
        <f>INDEX(Master_Produk!$C$2:$C$11,MATCH(H497,Master_Produk!$A$2:$A$11,0))</f>
        <v>Pakaian</v>
      </c>
      <c r="K497" s="8">
        <f>INDEX(Master_Produk!$E$2:$E$11,MATCH(Data_Transaksi!H497,Master_Produk!$A$2:$A$11,0))</f>
        <v>350000</v>
      </c>
      <c r="L497" s="8">
        <f t="shared" si="31"/>
        <v>1400000</v>
      </c>
      <c r="M497" s="8">
        <f>INDEX(Master_Target!$B$2:$M$4, MATCH(J497, Master_Target!$A$2:$A$4, 0), MATCH(TEXT(B497, "[$-421]mmmm"), Master_Target!$B$1:$M$1, 0))</f>
        <v>22500000</v>
      </c>
    </row>
    <row r="498" spans="1:13" x14ac:dyDescent="0.25">
      <c r="A498" s="7" t="s">
        <v>507</v>
      </c>
      <c r="B498" s="11" t="s">
        <v>1179</v>
      </c>
      <c r="C498" s="7">
        <f t="shared" si="28"/>
        <v>6</v>
      </c>
      <c r="D498" s="7" t="str">
        <f t="shared" si="29"/>
        <v>Jun</v>
      </c>
      <c r="E498" s="7" t="s">
        <v>1355</v>
      </c>
      <c r="F498" s="7" t="str">
        <f t="shared" si="30"/>
        <v>Bambang H.</v>
      </c>
      <c r="G498" s="7" t="s">
        <v>1359</v>
      </c>
      <c r="H498" s="7" t="s">
        <v>1370</v>
      </c>
      <c r="I498" s="7">
        <v>5</v>
      </c>
      <c r="J498" s="7" t="str">
        <f>INDEX(Master_Produk!$C$2:$C$11,MATCH(H498,Master_Produk!$A$2:$A$11,0))</f>
        <v>Furnitur</v>
      </c>
      <c r="K498" s="8">
        <f>INDEX(Master_Produk!$E$2:$E$11,MATCH(Data_Transaksi!H498,Master_Produk!$A$2:$A$11,0))</f>
        <v>1200000</v>
      </c>
      <c r="L498" s="8">
        <f t="shared" si="31"/>
        <v>6000000</v>
      </c>
      <c r="M498" s="8">
        <f>INDEX(Master_Target!$B$2:$M$4, MATCH(J498, Master_Target!$A$2:$A$4, 0), MATCH(TEXT(B498, "[$-421]mmmm"), Master_Target!$B$1:$M$1, 0))</f>
        <v>30000000</v>
      </c>
    </row>
    <row r="499" spans="1:13" x14ac:dyDescent="0.25">
      <c r="A499" s="7" t="s">
        <v>508</v>
      </c>
      <c r="B499" s="11" t="s">
        <v>1180</v>
      </c>
      <c r="C499" s="7">
        <f t="shared" si="28"/>
        <v>6</v>
      </c>
      <c r="D499" s="7" t="str">
        <f t="shared" si="29"/>
        <v>Jun</v>
      </c>
      <c r="E499" s="7" t="s">
        <v>1350</v>
      </c>
      <c r="F499" s="7" t="str">
        <f t="shared" si="30"/>
        <v>Andi Wijaya</v>
      </c>
      <c r="G499" s="7" t="s">
        <v>1358</v>
      </c>
      <c r="H499" s="7" t="s">
        <v>1365</v>
      </c>
      <c r="I499" s="7">
        <v>5</v>
      </c>
      <c r="J499" s="7" t="str">
        <f>INDEX(Master_Produk!$C$2:$C$11,MATCH(H499,Master_Produk!$A$2:$A$11,0))</f>
        <v>Elektronik</v>
      </c>
      <c r="K499" s="8">
        <f>INDEX(Master_Produk!$E$2:$E$11,MATCH(Data_Transaksi!H499,Master_Produk!$A$2:$A$11,0))</f>
        <v>1800000</v>
      </c>
      <c r="L499" s="8">
        <f t="shared" si="31"/>
        <v>9000000</v>
      </c>
      <c r="M499" s="8">
        <f>INDEX(Master_Target!$B$2:$M$4, MATCH(J499, Master_Target!$A$2:$A$4, 0), MATCH(TEXT(B499, "[$-421]mmmm"), Master_Target!$B$1:$M$1, 0))</f>
        <v>75000000</v>
      </c>
    </row>
    <row r="500" spans="1:13" x14ac:dyDescent="0.25">
      <c r="A500" s="7" t="s">
        <v>509</v>
      </c>
      <c r="B500" s="11" t="s">
        <v>1180</v>
      </c>
      <c r="C500" s="7">
        <f t="shared" si="28"/>
        <v>6</v>
      </c>
      <c r="D500" s="7" t="str">
        <f t="shared" si="29"/>
        <v>Jun</v>
      </c>
      <c r="E500" s="7" t="s">
        <v>1352</v>
      </c>
      <c r="F500" s="7" t="str">
        <f t="shared" si="30"/>
        <v>Ahmad Fauzi</v>
      </c>
      <c r="G500" s="7" t="s">
        <v>1361</v>
      </c>
      <c r="H500" s="7" t="s">
        <v>1368</v>
      </c>
      <c r="I500" s="7">
        <v>3</v>
      </c>
      <c r="J500" s="7" t="str">
        <f>INDEX(Master_Produk!$C$2:$C$11,MATCH(H500,Master_Produk!$A$2:$A$11,0))</f>
        <v>Furnitur</v>
      </c>
      <c r="K500" s="8">
        <f>INDEX(Master_Produk!$E$2:$E$11,MATCH(Data_Transaksi!H500,Master_Produk!$A$2:$A$11,0))</f>
        <v>650000</v>
      </c>
      <c r="L500" s="8">
        <f t="shared" si="31"/>
        <v>1950000</v>
      </c>
      <c r="M500" s="8">
        <f>INDEX(Master_Target!$B$2:$M$4, MATCH(J500, Master_Target!$A$2:$A$4, 0), MATCH(TEXT(B500, "[$-421]mmmm"), Master_Target!$B$1:$M$1, 0))</f>
        <v>30000000</v>
      </c>
    </row>
    <row r="501" spans="1:13" x14ac:dyDescent="0.25">
      <c r="A501" s="7" t="s">
        <v>510</v>
      </c>
      <c r="B501" s="11" t="s">
        <v>1181</v>
      </c>
      <c r="C501" s="7">
        <f t="shared" si="28"/>
        <v>7</v>
      </c>
      <c r="D501" s="7" t="str">
        <f t="shared" si="29"/>
        <v>Jul</v>
      </c>
      <c r="E501" s="7" t="s">
        <v>1355</v>
      </c>
      <c r="F501" s="7" t="str">
        <f t="shared" si="30"/>
        <v>Bambang H.</v>
      </c>
      <c r="G501" s="7" t="s">
        <v>1359</v>
      </c>
      <c r="H501" s="7" t="s">
        <v>1367</v>
      </c>
      <c r="I501" s="7">
        <v>1</v>
      </c>
      <c r="J501" s="7" t="str">
        <f>INDEX(Master_Produk!$C$2:$C$11,MATCH(H501,Master_Produk!$A$2:$A$11,0))</f>
        <v>Elektronik</v>
      </c>
      <c r="K501" s="8">
        <f>INDEX(Master_Produk!$E$2:$E$11,MATCH(Data_Transaksi!H501,Master_Produk!$A$2:$A$11,0))</f>
        <v>250000</v>
      </c>
      <c r="L501" s="8">
        <f t="shared" si="31"/>
        <v>250000</v>
      </c>
      <c r="M501" s="8">
        <f>INDEX(Master_Target!$B$2:$M$4, MATCH(J501, Master_Target!$A$2:$A$4, 0), MATCH(TEXT(B501, "[$-421]mmmm"), Master_Target!$B$1:$M$1, 0))</f>
        <v>80000000</v>
      </c>
    </row>
    <row r="502" spans="1:13" x14ac:dyDescent="0.25">
      <c r="A502" s="7" t="s">
        <v>511</v>
      </c>
      <c r="B502" s="11" t="s">
        <v>1182</v>
      </c>
      <c r="C502" s="7">
        <f t="shared" si="28"/>
        <v>7</v>
      </c>
      <c r="D502" s="7" t="str">
        <f t="shared" si="29"/>
        <v>Jul</v>
      </c>
      <c r="E502" s="7" t="s">
        <v>1351</v>
      </c>
      <c r="F502" s="7" t="str">
        <f t="shared" si="30"/>
        <v>Siti Rahma</v>
      </c>
      <c r="G502" s="7" t="s">
        <v>1357</v>
      </c>
      <c r="H502" s="7" t="s">
        <v>1366</v>
      </c>
      <c r="I502" s="7">
        <v>3</v>
      </c>
      <c r="J502" s="7" t="str">
        <f>INDEX(Master_Produk!$C$2:$C$11,MATCH(H502,Master_Produk!$A$2:$A$11,0))</f>
        <v>Elektronik</v>
      </c>
      <c r="K502" s="8">
        <f>INDEX(Master_Produk!$E$2:$E$11,MATCH(Data_Transaksi!H502,Master_Produk!$A$2:$A$11,0))</f>
        <v>7500000</v>
      </c>
      <c r="L502" s="8">
        <f t="shared" si="31"/>
        <v>22500000</v>
      </c>
      <c r="M502" s="8">
        <f>INDEX(Master_Target!$B$2:$M$4, MATCH(J502, Master_Target!$A$2:$A$4, 0), MATCH(TEXT(B502, "[$-421]mmmm"), Master_Target!$B$1:$M$1, 0))</f>
        <v>80000000</v>
      </c>
    </row>
    <row r="503" spans="1:13" x14ac:dyDescent="0.25">
      <c r="A503" s="7" t="s">
        <v>512</v>
      </c>
      <c r="B503" s="11" t="s">
        <v>1182</v>
      </c>
      <c r="C503" s="7">
        <f t="shared" si="28"/>
        <v>7</v>
      </c>
      <c r="D503" s="7" t="str">
        <f t="shared" si="29"/>
        <v>Jul</v>
      </c>
      <c r="E503" s="7" t="s">
        <v>1347</v>
      </c>
      <c r="F503" s="7" t="str">
        <f t="shared" si="30"/>
        <v>Rina Marlina</v>
      </c>
      <c r="G503" s="7" t="s">
        <v>1357</v>
      </c>
      <c r="H503" s="7" t="s">
        <v>1371</v>
      </c>
      <c r="I503" s="7">
        <v>1</v>
      </c>
      <c r="J503" s="7" t="str">
        <f>INDEX(Master_Produk!$C$2:$C$11,MATCH(H503,Master_Produk!$A$2:$A$11,0))</f>
        <v>Pakaian</v>
      </c>
      <c r="K503" s="8">
        <f>INDEX(Master_Produk!$E$2:$E$11,MATCH(Data_Transaksi!H503,Master_Produk!$A$2:$A$11,0))</f>
        <v>280000</v>
      </c>
      <c r="L503" s="8">
        <f t="shared" si="31"/>
        <v>280000</v>
      </c>
      <c r="M503" s="8">
        <f>INDEX(Master_Target!$B$2:$M$4, MATCH(J503, Master_Target!$A$2:$A$4, 0), MATCH(TEXT(B503, "[$-421]mmmm"), Master_Target!$B$1:$M$1, 0))</f>
        <v>24000000</v>
      </c>
    </row>
    <row r="504" spans="1:13" x14ac:dyDescent="0.25">
      <c r="A504" s="7" t="s">
        <v>513</v>
      </c>
      <c r="B504" s="11" t="s">
        <v>1183</v>
      </c>
      <c r="C504" s="7">
        <f t="shared" si="28"/>
        <v>7</v>
      </c>
      <c r="D504" s="7" t="str">
        <f t="shared" si="29"/>
        <v>Jul</v>
      </c>
      <c r="E504" s="7" t="s">
        <v>1349</v>
      </c>
      <c r="F504" s="7" t="str">
        <f t="shared" si="30"/>
        <v>Dewi Lestari</v>
      </c>
      <c r="G504" s="7" t="s">
        <v>1360</v>
      </c>
      <c r="H504" s="7" t="s">
        <v>1365</v>
      </c>
      <c r="I504" s="7">
        <v>1</v>
      </c>
      <c r="J504" s="7" t="str">
        <f>INDEX(Master_Produk!$C$2:$C$11,MATCH(H504,Master_Produk!$A$2:$A$11,0))</f>
        <v>Elektronik</v>
      </c>
      <c r="K504" s="8">
        <f>INDEX(Master_Produk!$E$2:$E$11,MATCH(Data_Transaksi!H504,Master_Produk!$A$2:$A$11,0))</f>
        <v>1800000</v>
      </c>
      <c r="L504" s="8">
        <f t="shared" si="31"/>
        <v>1800000</v>
      </c>
      <c r="M504" s="8">
        <f>INDEX(Master_Target!$B$2:$M$4, MATCH(J504, Master_Target!$A$2:$A$4, 0), MATCH(TEXT(B504, "[$-421]mmmm"), Master_Target!$B$1:$M$1, 0))</f>
        <v>80000000</v>
      </c>
    </row>
    <row r="505" spans="1:13" x14ac:dyDescent="0.25">
      <c r="A505" s="7" t="s">
        <v>514</v>
      </c>
      <c r="B505" s="11" t="s">
        <v>1183</v>
      </c>
      <c r="C505" s="7">
        <f t="shared" si="28"/>
        <v>7</v>
      </c>
      <c r="D505" s="7" t="str">
        <f t="shared" si="29"/>
        <v>Jul</v>
      </c>
      <c r="E505" s="7" t="s">
        <v>1352</v>
      </c>
      <c r="F505" s="7" t="str">
        <f t="shared" si="30"/>
        <v>Ahmad Fauzi</v>
      </c>
      <c r="G505" s="7" t="s">
        <v>1357</v>
      </c>
      <c r="H505" s="7" t="s">
        <v>1368</v>
      </c>
      <c r="I505" s="7">
        <v>1</v>
      </c>
      <c r="J505" s="7" t="str">
        <f>INDEX(Master_Produk!$C$2:$C$11,MATCH(H505,Master_Produk!$A$2:$A$11,0))</f>
        <v>Furnitur</v>
      </c>
      <c r="K505" s="8">
        <f>INDEX(Master_Produk!$E$2:$E$11,MATCH(Data_Transaksi!H505,Master_Produk!$A$2:$A$11,0))</f>
        <v>650000</v>
      </c>
      <c r="L505" s="8">
        <f t="shared" si="31"/>
        <v>650000</v>
      </c>
      <c r="M505" s="8">
        <f>INDEX(Master_Target!$B$2:$M$4, MATCH(J505, Master_Target!$A$2:$A$4, 0), MATCH(TEXT(B505, "[$-421]mmmm"), Master_Target!$B$1:$M$1, 0))</f>
        <v>32000000</v>
      </c>
    </row>
    <row r="506" spans="1:13" x14ac:dyDescent="0.25">
      <c r="A506" s="7" t="s">
        <v>515</v>
      </c>
      <c r="B506" s="11" t="s">
        <v>1183</v>
      </c>
      <c r="C506" s="7">
        <f t="shared" si="28"/>
        <v>7</v>
      </c>
      <c r="D506" s="7" t="str">
        <f t="shared" si="29"/>
        <v>Jul</v>
      </c>
      <c r="E506" s="7" t="s">
        <v>1353</v>
      </c>
      <c r="F506" s="7" t="str">
        <f t="shared" si="30"/>
        <v>Sari Yuliana</v>
      </c>
      <c r="G506" s="7" t="s">
        <v>1360</v>
      </c>
      <c r="H506" s="7" t="s">
        <v>1371</v>
      </c>
      <c r="I506" s="7">
        <v>2</v>
      </c>
      <c r="J506" s="7" t="str">
        <f>INDEX(Master_Produk!$C$2:$C$11,MATCH(H506,Master_Produk!$A$2:$A$11,0))</f>
        <v>Pakaian</v>
      </c>
      <c r="K506" s="8">
        <f>INDEX(Master_Produk!$E$2:$E$11,MATCH(Data_Transaksi!H506,Master_Produk!$A$2:$A$11,0))</f>
        <v>280000</v>
      </c>
      <c r="L506" s="8">
        <f t="shared" si="31"/>
        <v>560000</v>
      </c>
      <c r="M506" s="8">
        <f>INDEX(Master_Target!$B$2:$M$4, MATCH(J506, Master_Target!$A$2:$A$4, 0), MATCH(TEXT(B506, "[$-421]mmmm"), Master_Target!$B$1:$M$1, 0))</f>
        <v>24000000</v>
      </c>
    </row>
    <row r="507" spans="1:13" x14ac:dyDescent="0.25">
      <c r="A507" s="7" t="s">
        <v>516</v>
      </c>
      <c r="B507" s="11" t="s">
        <v>1184</v>
      </c>
      <c r="C507" s="7">
        <f t="shared" si="28"/>
        <v>7</v>
      </c>
      <c r="D507" s="7" t="str">
        <f t="shared" si="29"/>
        <v>Jul</v>
      </c>
      <c r="E507" s="7" t="s">
        <v>1356</v>
      </c>
      <c r="F507" s="7" t="str">
        <f t="shared" si="30"/>
        <v>Eko Prasetyo</v>
      </c>
      <c r="G507" s="7" t="s">
        <v>1361</v>
      </c>
      <c r="H507" s="7" t="s">
        <v>1365</v>
      </c>
      <c r="I507" s="7">
        <v>3</v>
      </c>
      <c r="J507" s="7" t="str">
        <f>INDEX(Master_Produk!$C$2:$C$11,MATCH(H507,Master_Produk!$A$2:$A$11,0))</f>
        <v>Elektronik</v>
      </c>
      <c r="K507" s="8">
        <f>INDEX(Master_Produk!$E$2:$E$11,MATCH(Data_Transaksi!H507,Master_Produk!$A$2:$A$11,0))</f>
        <v>1800000</v>
      </c>
      <c r="L507" s="8">
        <f t="shared" si="31"/>
        <v>5400000</v>
      </c>
      <c r="M507" s="8">
        <f>INDEX(Master_Target!$B$2:$M$4, MATCH(J507, Master_Target!$A$2:$A$4, 0), MATCH(TEXT(B507, "[$-421]mmmm"), Master_Target!$B$1:$M$1, 0))</f>
        <v>80000000</v>
      </c>
    </row>
    <row r="508" spans="1:13" x14ac:dyDescent="0.25">
      <c r="A508" s="7" t="s">
        <v>517</v>
      </c>
      <c r="B508" s="11" t="s">
        <v>1185</v>
      </c>
      <c r="C508" s="7">
        <f t="shared" si="28"/>
        <v>7</v>
      </c>
      <c r="D508" s="7" t="str">
        <f t="shared" si="29"/>
        <v>Jul</v>
      </c>
      <c r="E508" s="7" t="s">
        <v>1347</v>
      </c>
      <c r="F508" s="7" t="str">
        <f t="shared" si="30"/>
        <v>Rina Marlina</v>
      </c>
      <c r="G508" s="7" t="s">
        <v>1358</v>
      </c>
      <c r="H508" s="7" t="s">
        <v>1365</v>
      </c>
      <c r="I508" s="7">
        <v>2</v>
      </c>
      <c r="J508" s="7" t="str">
        <f>INDEX(Master_Produk!$C$2:$C$11,MATCH(H508,Master_Produk!$A$2:$A$11,0))</f>
        <v>Elektronik</v>
      </c>
      <c r="K508" s="8">
        <f>INDEX(Master_Produk!$E$2:$E$11,MATCH(Data_Transaksi!H508,Master_Produk!$A$2:$A$11,0))</f>
        <v>1800000</v>
      </c>
      <c r="L508" s="8">
        <f t="shared" si="31"/>
        <v>3600000</v>
      </c>
      <c r="M508" s="8">
        <f>INDEX(Master_Target!$B$2:$M$4, MATCH(J508, Master_Target!$A$2:$A$4, 0), MATCH(TEXT(B508, "[$-421]mmmm"), Master_Target!$B$1:$M$1, 0))</f>
        <v>80000000</v>
      </c>
    </row>
    <row r="509" spans="1:13" x14ac:dyDescent="0.25">
      <c r="A509" s="7" t="s">
        <v>518</v>
      </c>
      <c r="B509" s="11" t="s">
        <v>1185</v>
      </c>
      <c r="C509" s="7">
        <f t="shared" si="28"/>
        <v>7</v>
      </c>
      <c r="D509" s="7" t="str">
        <f t="shared" si="29"/>
        <v>Jul</v>
      </c>
      <c r="E509" s="7" t="s">
        <v>1350</v>
      </c>
      <c r="F509" s="7" t="str">
        <f t="shared" si="30"/>
        <v>Andi Wijaya</v>
      </c>
      <c r="G509" s="7" t="s">
        <v>1361</v>
      </c>
      <c r="H509" s="7" t="s">
        <v>1370</v>
      </c>
      <c r="I509" s="7">
        <v>2</v>
      </c>
      <c r="J509" s="7" t="str">
        <f>INDEX(Master_Produk!$C$2:$C$11,MATCH(H509,Master_Produk!$A$2:$A$11,0))</f>
        <v>Furnitur</v>
      </c>
      <c r="K509" s="8">
        <f>INDEX(Master_Produk!$E$2:$E$11,MATCH(Data_Transaksi!H509,Master_Produk!$A$2:$A$11,0))</f>
        <v>1200000</v>
      </c>
      <c r="L509" s="8">
        <f t="shared" si="31"/>
        <v>2400000</v>
      </c>
      <c r="M509" s="8">
        <f>INDEX(Master_Target!$B$2:$M$4, MATCH(J509, Master_Target!$A$2:$A$4, 0), MATCH(TEXT(B509, "[$-421]mmmm"), Master_Target!$B$1:$M$1, 0))</f>
        <v>32000000</v>
      </c>
    </row>
    <row r="510" spans="1:13" x14ac:dyDescent="0.25">
      <c r="A510" s="7" t="s">
        <v>519</v>
      </c>
      <c r="B510" s="11" t="s">
        <v>1185</v>
      </c>
      <c r="C510" s="7">
        <f t="shared" si="28"/>
        <v>7</v>
      </c>
      <c r="D510" s="7" t="str">
        <f t="shared" si="29"/>
        <v>Jul</v>
      </c>
      <c r="E510" s="7" t="s">
        <v>1349</v>
      </c>
      <c r="F510" s="7" t="str">
        <f t="shared" si="30"/>
        <v>Dewi Lestari</v>
      </c>
      <c r="G510" s="7" t="s">
        <v>1358</v>
      </c>
      <c r="H510" s="7" t="s">
        <v>1363</v>
      </c>
      <c r="I510" s="7">
        <v>1</v>
      </c>
      <c r="J510" s="7" t="str">
        <f>INDEX(Master_Produk!$C$2:$C$11,MATCH(H510,Master_Produk!$A$2:$A$11,0))</f>
        <v>Pakaian</v>
      </c>
      <c r="K510" s="8">
        <f>INDEX(Master_Produk!$E$2:$E$11,MATCH(Data_Transaksi!H510,Master_Produk!$A$2:$A$11,0))</f>
        <v>250000</v>
      </c>
      <c r="L510" s="8">
        <f t="shared" si="31"/>
        <v>250000</v>
      </c>
      <c r="M510" s="8">
        <f>INDEX(Master_Target!$B$2:$M$4, MATCH(J510, Master_Target!$A$2:$A$4, 0), MATCH(TEXT(B510, "[$-421]mmmm"), Master_Target!$B$1:$M$1, 0))</f>
        <v>24000000</v>
      </c>
    </row>
    <row r="511" spans="1:13" x14ac:dyDescent="0.25">
      <c r="A511" s="7" t="s">
        <v>520</v>
      </c>
      <c r="B511" s="11" t="s">
        <v>1186</v>
      </c>
      <c r="C511" s="7">
        <f t="shared" si="28"/>
        <v>7</v>
      </c>
      <c r="D511" s="7" t="str">
        <f t="shared" si="29"/>
        <v>Jul</v>
      </c>
      <c r="E511" s="7" t="s">
        <v>1350</v>
      </c>
      <c r="F511" s="7" t="str">
        <f t="shared" si="30"/>
        <v>Andi Wijaya</v>
      </c>
      <c r="G511" s="7" t="s">
        <v>1358</v>
      </c>
      <c r="H511" s="7" t="s">
        <v>1365</v>
      </c>
      <c r="I511" s="7">
        <v>10</v>
      </c>
      <c r="J511" s="7" t="str">
        <f>INDEX(Master_Produk!$C$2:$C$11,MATCH(H511,Master_Produk!$A$2:$A$11,0))</f>
        <v>Elektronik</v>
      </c>
      <c r="K511" s="8">
        <f>INDEX(Master_Produk!$E$2:$E$11,MATCH(Data_Transaksi!H511,Master_Produk!$A$2:$A$11,0))</f>
        <v>1800000</v>
      </c>
      <c r="L511" s="8">
        <f t="shared" si="31"/>
        <v>18000000</v>
      </c>
      <c r="M511" s="8">
        <f>INDEX(Master_Target!$B$2:$M$4, MATCH(J511, Master_Target!$A$2:$A$4, 0), MATCH(TEXT(B511, "[$-421]mmmm"), Master_Target!$B$1:$M$1, 0))</f>
        <v>80000000</v>
      </c>
    </row>
    <row r="512" spans="1:13" x14ac:dyDescent="0.25">
      <c r="A512" s="7" t="s">
        <v>521</v>
      </c>
      <c r="B512" s="11" t="s">
        <v>1186</v>
      </c>
      <c r="C512" s="7">
        <f t="shared" si="28"/>
        <v>7</v>
      </c>
      <c r="D512" s="7" t="str">
        <f t="shared" si="29"/>
        <v>Jul</v>
      </c>
      <c r="E512" s="7" t="s">
        <v>1350</v>
      </c>
      <c r="F512" s="7" t="str">
        <f t="shared" si="30"/>
        <v>Andi Wijaya</v>
      </c>
      <c r="G512" s="7" t="s">
        <v>1360</v>
      </c>
      <c r="H512" s="7" t="s">
        <v>1370</v>
      </c>
      <c r="I512" s="7">
        <v>2</v>
      </c>
      <c r="J512" s="7" t="str">
        <f>INDEX(Master_Produk!$C$2:$C$11,MATCH(H512,Master_Produk!$A$2:$A$11,0))</f>
        <v>Furnitur</v>
      </c>
      <c r="K512" s="8">
        <f>INDEX(Master_Produk!$E$2:$E$11,MATCH(Data_Transaksi!H512,Master_Produk!$A$2:$A$11,0))</f>
        <v>1200000</v>
      </c>
      <c r="L512" s="8">
        <f t="shared" si="31"/>
        <v>2400000</v>
      </c>
      <c r="M512" s="8">
        <f>INDEX(Master_Target!$B$2:$M$4, MATCH(J512, Master_Target!$A$2:$A$4, 0), MATCH(TEXT(B512, "[$-421]mmmm"), Master_Target!$B$1:$M$1, 0))</f>
        <v>32000000</v>
      </c>
    </row>
    <row r="513" spans="1:13" x14ac:dyDescent="0.25">
      <c r="A513" s="7" t="s">
        <v>522</v>
      </c>
      <c r="B513" s="11" t="s">
        <v>1186</v>
      </c>
      <c r="C513" s="7">
        <f t="shared" si="28"/>
        <v>7</v>
      </c>
      <c r="D513" s="7" t="str">
        <f t="shared" si="29"/>
        <v>Jul</v>
      </c>
      <c r="E513" s="7" t="s">
        <v>1351</v>
      </c>
      <c r="F513" s="7" t="str">
        <f t="shared" si="30"/>
        <v>Siti Rahma</v>
      </c>
      <c r="G513" s="7" t="s">
        <v>1357</v>
      </c>
      <c r="H513" s="7" t="s">
        <v>1368</v>
      </c>
      <c r="I513" s="7">
        <v>2</v>
      </c>
      <c r="J513" s="7" t="str">
        <f>INDEX(Master_Produk!$C$2:$C$11,MATCH(H513,Master_Produk!$A$2:$A$11,0))</f>
        <v>Furnitur</v>
      </c>
      <c r="K513" s="8">
        <f>INDEX(Master_Produk!$E$2:$E$11,MATCH(Data_Transaksi!H513,Master_Produk!$A$2:$A$11,0))</f>
        <v>650000</v>
      </c>
      <c r="L513" s="8">
        <f t="shared" si="31"/>
        <v>1300000</v>
      </c>
      <c r="M513" s="8">
        <f>INDEX(Master_Target!$B$2:$M$4, MATCH(J513, Master_Target!$A$2:$A$4, 0), MATCH(TEXT(B513, "[$-421]mmmm"), Master_Target!$B$1:$M$1, 0))</f>
        <v>32000000</v>
      </c>
    </row>
    <row r="514" spans="1:13" x14ac:dyDescent="0.25">
      <c r="A514" s="7" t="s">
        <v>523</v>
      </c>
      <c r="B514" s="11" t="s">
        <v>1186</v>
      </c>
      <c r="C514" s="7">
        <f t="shared" si="28"/>
        <v>7</v>
      </c>
      <c r="D514" s="7" t="str">
        <f t="shared" si="29"/>
        <v>Jul</v>
      </c>
      <c r="E514" s="7" t="s">
        <v>1348</v>
      </c>
      <c r="F514" s="7" t="str">
        <f t="shared" si="30"/>
        <v>Budi Santoso</v>
      </c>
      <c r="G514" s="7" t="s">
        <v>1357</v>
      </c>
      <c r="H514" s="7" t="s">
        <v>1367</v>
      </c>
      <c r="I514" s="7">
        <v>1</v>
      </c>
      <c r="J514" s="7" t="str">
        <f>INDEX(Master_Produk!$C$2:$C$11,MATCH(H514,Master_Produk!$A$2:$A$11,0))</f>
        <v>Elektronik</v>
      </c>
      <c r="K514" s="8">
        <f>INDEX(Master_Produk!$E$2:$E$11,MATCH(Data_Transaksi!H514,Master_Produk!$A$2:$A$11,0))</f>
        <v>250000</v>
      </c>
      <c r="L514" s="8">
        <f t="shared" si="31"/>
        <v>250000</v>
      </c>
      <c r="M514" s="8">
        <f>INDEX(Master_Target!$B$2:$M$4, MATCH(J514, Master_Target!$A$2:$A$4, 0), MATCH(TEXT(B514, "[$-421]mmmm"), Master_Target!$B$1:$M$1, 0))</f>
        <v>80000000</v>
      </c>
    </row>
    <row r="515" spans="1:13" x14ac:dyDescent="0.25">
      <c r="A515" s="7" t="s">
        <v>524</v>
      </c>
      <c r="B515" s="11" t="s">
        <v>1186</v>
      </c>
      <c r="C515" s="7">
        <f t="shared" ref="C515:C578" si="32">MONTH(B515)</f>
        <v>7</v>
      </c>
      <c r="D515" s="7" t="str">
        <f t="shared" ref="D515:D578" si="33">TEXT(B515,"mmm")</f>
        <v>Jul</v>
      </c>
      <c r="E515" s="7" t="s">
        <v>1348</v>
      </c>
      <c r="F515" s="7" t="str">
        <f t="shared" ref="F515:F578" si="34">TRIM(PROPER(E515))</f>
        <v>Budi Santoso</v>
      </c>
      <c r="G515" s="7" t="s">
        <v>1360</v>
      </c>
      <c r="H515" s="7" t="s">
        <v>1364</v>
      </c>
      <c r="I515" s="7">
        <v>3</v>
      </c>
      <c r="J515" s="7" t="str">
        <f>INDEX(Master_Produk!$C$2:$C$11,MATCH(H515,Master_Produk!$A$2:$A$11,0))</f>
        <v>Furnitur</v>
      </c>
      <c r="K515" s="8">
        <f>INDEX(Master_Produk!$E$2:$E$11,MATCH(Data_Transaksi!H515,Master_Produk!$A$2:$A$11,0))</f>
        <v>950000</v>
      </c>
      <c r="L515" s="8">
        <f t="shared" ref="L515:L578" si="35">I515*K515</f>
        <v>2850000</v>
      </c>
      <c r="M515" s="8">
        <f>INDEX(Master_Target!$B$2:$M$4, MATCH(J515, Master_Target!$A$2:$A$4, 0), MATCH(TEXT(B515, "[$-421]mmmm"), Master_Target!$B$1:$M$1, 0))</f>
        <v>32000000</v>
      </c>
    </row>
    <row r="516" spans="1:13" x14ac:dyDescent="0.25">
      <c r="A516" s="7" t="s">
        <v>525</v>
      </c>
      <c r="B516" s="11" t="s">
        <v>1187</v>
      </c>
      <c r="C516" s="7">
        <f t="shared" si="32"/>
        <v>7</v>
      </c>
      <c r="D516" s="7" t="str">
        <f t="shared" si="33"/>
        <v>Jul</v>
      </c>
      <c r="E516" s="7" t="s">
        <v>1350</v>
      </c>
      <c r="F516" s="7" t="str">
        <f t="shared" si="34"/>
        <v>Andi Wijaya</v>
      </c>
      <c r="G516" s="7" t="s">
        <v>1360</v>
      </c>
      <c r="H516" s="7" t="s">
        <v>1364</v>
      </c>
      <c r="I516" s="7">
        <v>2</v>
      </c>
      <c r="J516" s="7" t="str">
        <f>INDEX(Master_Produk!$C$2:$C$11,MATCH(H516,Master_Produk!$A$2:$A$11,0))</f>
        <v>Furnitur</v>
      </c>
      <c r="K516" s="8">
        <f>INDEX(Master_Produk!$E$2:$E$11,MATCH(Data_Transaksi!H516,Master_Produk!$A$2:$A$11,0))</f>
        <v>950000</v>
      </c>
      <c r="L516" s="8">
        <f t="shared" si="35"/>
        <v>1900000</v>
      </c>
      <c r="M516" s="8">
        <f>INDEX(Master_Target!$B$2:$M$4, MATCH(J516, Master_Target!$A$2:$A$4, 0), MATCH(TEXT(B516, "[$-421]mmmm"), Master_Target!$B$1:$M$1, 0))</f>
        <v>32000000</v>
      </c>
    </row>
    <row r="517" spans="1:13" x14ac:dyDescent="0.25">
      <c r="A517" s="7" t="s">
        <v>526</v>
      </c>
      <c r="B517" s="11" t="s">
        <v>1187</v>
      </c>
      <c r="C517" s="7">
        <f t="shared" si="32"/>
        <v>7</v>
      </c>
      <c r="D517" s="7" t="str">
        <f t="shared" si="33"/>
        <v>Jul</v>
      </c>
      <c r="E517" s="7" t="s">
        <v>1355</v>
      </c>
      <c r="F517" s="7" t="str">
        <f t="shared" si="34"/>
        <v>Bambang H.</v>
      </c>
      <c r="G517" s="7" t="s">
        <v>1361</v>
      </c>
      <c r="H517" s="7" t="s">
        <v>1363</v>
      </c>
      <c r="I517" s="7">
        <v>1</v>
      </c>
      <c r="J517" s="7" t="str">
        <f>INDEX(Master_Produk!$C$2:$C$11,MATCH(H517,Master_Produk!$A$2:$A$11,0))</f>
        <v>Pakaian</v>
      </c>
      <c r="K517" s="8">
        <f>INDEX(Master_Produk!$E$2:$E$11,MATCH(Data_Transaksi!H517,Master_Produk!$A$2:$A$11,0))</f>
        <v>250000</v>
      </c>
      <c r="L517" s="8">
        <f t="shared" si="35"/>
        <v>250000</v>
      </c>
      <c r="M517" s="8">
        <f>INDEX(Master_Target!$B$2:$M$4, MATCH(J517, Master_Target!$A$2:$A$4, 0), MATCH(TEXT(B517, "[$-421]mmmm"), Master_Target!$B$1:$M$1, 0))</f>
        <v>24000000</v>
      </c>
    </row>
    <row r="518" spans="1:13" x14ac:dyDescent="0.25">
      <c r="A518" s="7" t="s">
        <v>527</v>
      </c>
      <c r="B518" s="11" t="s">
        <v>1187</v>
      </c>
      <c r="C518" s="7">
        <f t="shared" si="32"/>
        <v>7</v>
      </c>
      <c r="D518" s="7" t="str">
        <f t="shared" si="33"/>
        <v>Jul</v>
      </c>
      <c r="E518" s="7" t="s">
        <v>1353</v>
      </c>
      <c r="F518" s="7" t="str">
        <f t="shared" si="34"/>
        <v>Sari Yuliana</v>
      </c>
      <c r="G518" s="7" t="s">
        <v>1360</v>
      </c>
      <c r="H518" s="7" t="s">
        <v>1370</v>
      </c>
      <c r="I518" s="7">
        <v>1</v>
      </c>
      <c r="J518" s="7" t="str">
        <f>INDEX(Master_Produk!$C$2:$C$11,MATCH(H518,Master_Produk!$A$2:$A$11,0))</f>
        <v>Furnitur</v>
      </c>
      <c r="K518" s="8">
        <f>INDEX(Master_Produk!$E$2:$E$11,MATCH(Data_Transaksi!H518,Master_Produk!$A$2:$A$11,0))</f>
        <v>1200000</v>
      </c>
      <c r="L518" s="8">
        <f t="shared" si="35"/>
        <v>1200000</v>
      </c>
      <c r="M518" s="8">
        <f>INDEX(Master_Target!$B$2:$M$4, MATCH(J518, Master_Target!$A$2:$A$4, 0), MATCH(TEXT(B518, "[$-421]mmmm"), Master_Target!$B$1:$M$1, 0))</f>
        <v>32000000</v>
      </c>
    </row>
    <row r="519" spans="1:13" x14ac:dyDescent="0.25">
      <c r="A519" s="7" t="s">
        <v>528</v>
      </c>
      <c r="B519" s="11" t="s">
        <v>1188</v>
      </c>
      <c r="C519" s="7">
        <f t="shared" si="32"/>
        <v>7</v>
      </c>
      <c r="D519" s="7" t="str">
        <f t="shared" si="33"/>
        <v>Jul</v>
      </c>
      <c r="E519" s="7" t="s">
        <v>1347</v>
      </c>
      <c r="F519" s="7" t="str">
        <f t="shared" si="34"/>
        <v>Rina Marlina</v>
      </c>
      <c r="G519" s="7" t="s">
        <v>1357</v>
      </c>
      <c r="H519" s="7" t="s">
        <v>1367</v>
      </c>
      <c r="I519" s="7">
        <v>2</v>
      </c>
      <c r="J519" s="7" t="str">
        <f>INDEX(Master_Produk!$C$2:$C$11,MATCH(H519,Master_Produk!$A$2:$A$11,0))</f>
        <v>Elektronik</v>
      </c>
      <c r="K519" s="8">
        <f>INDEX(Master_Produk!$E$2:$E$11,MATCH(Data_Transaksi!H519,Master_Produk!$A$2:$A$11,0))</f>
        <v>250000</v>
      </c>
      <c r="L519" s="8">
        <f t="shared" si="35"/>
        <v>500000</v>
      </c>
      <c r="M519" s="8">
        <f>INDEX(Master_Target!$B$2:$M$4, MATCH(J519, Master_Target!$A$2:$A$4, 0), MATCH(TEXT(B519, "[$-421]mmmm"), Master_Target!$B$1:$M$1, 0))</f>
        <v>80000000</v>
      </c>
    </row>
    <row r="520" spans="1:13" x14ac:dyDescent="0.25">
      <c r="A520" s="7" t="s">
        <v>529</v>
      </c>
      <c r="B520" s="11" t="s">
        <v>1188</v>
      </c>
      <c r="C520" s="7">
        <f t="shared" si="32"/>
        <v>7</v>
      </c>
      <c r="D520" s="7" t="str">
        <f t="shared" si="33"/>
        <v>Jul</v>
      </c>
      <c r="E520" s="7" t="s">
        <v>1355</v>
      </c>
      <c r="F520" s="7" t="str">
        <f t="shared" si="34"/>
        <v>Bambang H.</v>
      </c>
      <c r="G520" s="7" t="s">
        <v>1360</v>
      </c>
      <c r="H520" s="7" t="s">
        <v>1366</v>
      </c>
      <c r="I520" s="7">
        <v>2</v>
      </c>
      <c r="J520" s="7" t="str">
        <f>INDEX(Master_Produk!$C$2:$C$11,MATCH(H520,Master_Produk!$A$2:$A$11,0))</f>
        <v>Elektronik</v>
      </c>
      <c r="K520" s="8">
        <f>INDEX(Master_Produk!$E$2:$E$11,MATCH(Data_Transaksi!H520,Master_Produk!$A$2:$A$11,0))</f>
        <v>7500000</v>
      </c>
      <c r="L520" s="8">
        <f t="shared" si="35"/>
        <v>15000000</v>
      </c>
      <c r="M520" s="8">
        <f>INDEX(Master_Target!$B$2:$M$4, MATCH(J520, Master_Target!$A$2:$A$4, 0), MATCH(TEXT(B520, "[$-421]mmmm"), Master_Target!$B$1:$M$1, 0))</f>
        <v>80000000</v>
      </c>
    </row>
    <row r="521" spans="1:13" x14ac:dyDescent="0.25">
      <c r="A521" s="7" t="s">
        <v>530</v>
      </c>
      <c r="B521" s="11" t="s">
        <v>1189</v>
      </c>
      <c r="C521" s="7">
        <f t="shared" si="32"/>
        <v>7</v>
      </c>
      <c r="D521" s="7" t="str">
        <f t="shared" si="33"/>
        <v>Jul</v>
      </c>
      <c r="E521" s="7" t="s">
        <v>1354</v>
      </c>
      <c r="F521" s="7" t="str">
        <f t="shared" si="34"/>
        <v>Mega Utami</v>
      </c>
      <c r="G521" s="7" t="s">
        <v>1360</v>
      </c>
      <c r="H521" s="7" t="s">
        <v>1368</v>
      </c>
      <c r="I521" s="7">
        <v>1</v>
      </c>
      <c r="J521" s="7" t="str">
        <f>INDEX(Master_Produk!$C$2:$C$11,MATCH(H521,Master_Produk!$A$2:$A$11,0))</f>
        <v>Furnitur</v>
      </c>
      <c r="K521" s="8">
        <f>INDEX(Master_Produk!$E$2:$E$11,MATCH(Data_Transaksi!H521,Master_Produk!$A$2:$A$11,0))</f>
        <v>650000</v>
      </c>
      <c r="L521" s="8">
        <f t="shared" si="35"/>
        <v>650000</v>
      </c>
      <c r="M521" s="8">
        <f>INDEX(Master_Target!$B$2:$M$4, MATCH(J521, Master_Target!$A$2:$A$4, 0), MATCH(TEXT(B521, "[$-421]mmmm"), Master_Target!$B$1:$M$1, 0))</f>
        <v>32000000</v>
      </c>
    </row>
    <row r="522" spans="1:13" x14ac:dyDescent="0.25">
      <c r="A522" s="7" t="s">
        <v>531</v>
      </c>
      <c r="B522" s="11" t="s">
        <v>1189</v>
      </c>
      <c r="C522" s="7">
        <f t="shared" si="32"/>
        <v>7</v>
      </c>
      <c r="D522" s="7" t="str">
        <f t="shared" si="33"/>
        <v>Jul</v>
      </c>
      <c r="E522" s="7" t="s">
        <v>1353</v>
      </c>
      <c r="F522" s="7" t="str">
        <f t="shared" si="34"/>
        <v>Sari Yuliana</v>
      </c>
      <c r="G522" s="7" t="s">
        <v>1358</v>
      </c>
      <c r="H522" s="7" t="s">
        <v>1365</v>
      </c>
      <c r="I522" s="7">
        <v>5</v>
      </c>
      <c r="J522" s="7" t="str">
        <f>INDEX(Master_Produk!$C$2:$C$11,MATCH(H522,Master_Produk!$A$2:$A$11,0))</f>
        <v>Elektronik</v>
      </c>
      <c r="K522" s="8">
        <f>INDEX(Master_Produk!$E$2:$E$11,MATCH(Data_Transaksi!H522,Master_Produk!$A$2:$A$11,0))</f>
        <v>1800000</v>
      </c>
      <c r="L522" s="8">
        <f t="shared" si="35"/>
        <v>9000000</v>
      </c>
      <c r="M522" s="8">
        <f>INDEX(Master_Target!$B$2:$M$4, MATCH(J522, Master_Target!$A$2:$A$4, 0), MATCH(TEXT(B522, "[$-421]mmmm"), Master_Target!$B$1:$M$1, 0))</f>
        <v>80000000</v>
      </c>
    </row>
    <row r="523" spans="1:13" x14ac:dyDescent="0.25">
      <c r="A523" s="7" t="s">
        <v>532</v>
      </c>
      <c r="B523" s="11" t="s">
        <v>1189</v>
      </c>
      <c r="C523" s="7">
        <f t="shared" si="32"/>
        <v>7</v>
      </c>
      <c r="D523" s="7" t="str">
        <f t="shared" si="33"/>
        <v>Jul</v>
      </c>
      <c r="E523" s="7" t="s">
        <v>1350</v>
      </c>
      <c r="F523" s="7" t="str">
        <f t="shared" si="34"/>
        <v>Andi Wijaya</v>
      </c>
      <c r="G523" s="7" t="s">
        <v>1360</v>
      </c>
      <c r="H523" s="7" t="s">
        <v>1365</v>
      </c>
      <c r="I523" s="7">
        <v>1</v>
      </c>
      <c r="J523" s="7" t="str">
        <f>INDEX(Master_Produk!$C$2:$C$11,MATCH(H523,Master_Produk!$A$2:$A$11,0))</f>
        <v>Elektronik</v>
      </c>
      <c r="K523" s="8">
        <f>INDEX(Master_Produk!$E$2:$E$11,MATCH(Data_Transaksi!H523,Master_Produk!$A$2:$A$11,0))</f>
        <v>1800000</v>
      </c>
      <c r="L523" s="8">
        <f t="shared" si="35"/>
        <v>1800000</v>
      </c>
      <c r="M523" s="8">
        <f>INDEX(Master_Target!$B$2:$M$4, MATCH(J523, Master_Target!$A$2:$A$4, 0), MATCH(TEXT(B523, "[$-421]mmmm"), Master_Target!$B$1:$M$1, 0))</f>
        <v>80000000</v>
      </c>
    </row>
    <row r="524" spans="1:13" x14ac:dyDescent="0.25">
      <c r="A524" s="7" t="s">
        <v>533</v>
      </c>
      <c r="B524" s="11" t="s">
        <v>1189</v>
      </c>
      <c r="C524" s="7">
        <f t="shared" si="32"/>
        <v>7</v>
      </c>
      <c r="D524" s="7" t="str">
        <f t="shared" si="33"/>
        <v>Jul</v>
      </c>
      <c r="E524" s="7" t="s">
        <v>1354</v>
      </c>
      <c r="F524" s="7" t="str">
        <f t="shared" si="34"/>
        <v>Mega Utami</v>
      </c>
      <c r="G524" s="7" t="s">
        <v>1361</v>
      </c>
      <c r="H524" s="7" t="s">
        <v>1368</v>
      </c>
      <c r="I524" s="7">
        <v>2</v>
      </c>
      <c r="J524" s="7" t="str">
        <f>INDEX(Master_Produk!$C$2:$C$11,MATCH(H524,Master_Produk!$A$2:$A$11,0))</f>
        <v>Furnitur</v>
      </c>
      <c r="K524" s="8">
        <f>INDEX(Master_Produk!$E$2:$E$11,MATCH(Data_Transaksi!H524,Master_Produk!$A$2:$A$11,0))</f>
        <v>650000</v>
      </c>
      <c r="L524" s="8">
        <f t="shared" si="35"/>
        <v>1300000</v>
      </c>
      <c r="M524" s="8">
        <f>INDEX(Master_Target!$B$2:$M$4, MATCH(J524, Master_Target!$A$2:$A$4, 0), MATCH(TEXT(B524, "[$-421]mmmm"), Master_Target!$B$1:$M$1, 0))</f>
        <v>32000000</v>
      </c>
    </row>
    <row r="525" spans="1:13" x14ac:dyDescent="0.25">
      <c r="A525" s="7" t="s">
        <v>534</v>
      </c>
      <c r="B525" s="11" t="s">
        <v>1189</v>
      </c>
      <c r="C525" s="7">
        <f t="shared" si="32"/>
        <v>7</v>
      </c>
      <c r="D525" s="7" t="str">
        <f t="shared" si="33"/>
        <v>Jul</v>
      </c>
      <c r="E525" s="7" t="s">
        <v>1355</v>
      </c>
      <c r="F525" s="7" t="str">
        <f t="shared" si="34"/>
        <v>Bambang H.</v>
      </c>
      <c r="G525" s="7" t="s">
        <v>1360</v>
      </c>
      <c r="H525" s="7" t="s">
        <v>1368</v>
      </c>
      <c r="I525" s="7">
        <v>5</v>
      </c>
      <c r="J525" s="7" t="str">
        <f>INDEX(Master_Produk!$C$2:$C$11,MATCH(H525,Master_Produk!$A$2:$A$11,0))</f>
        <v>Furnitur</v>
      </c>
      <c r="K525" s="8">
        <f>INDEX(Master_Produk!$E$2:$E$11,MATCH(Data_Transaksi!H525,Master_Produk!$A$2:$A$11,0))</f>
        <v>650000</v>
      </c>
      <c r="L525" s="8">
        <f t="shared" si="35"/>
        <v>3250000</v>
      </c>
      <c r="M525" s="8">
        <f>INDEX(Master_Target!$B$2:$M$4, MATCH(J525, Master_Target!$A$2:$A$4, 0), MATCH(TEXT(B525, "[$-421]mmmm"), Master_Target!$B$1:$M$1, 0))</f>
        <v>32000000</v>
      </c>
    </row>
    <row r="526" spans="1:13" x14ac:dyDescent="0.25">
      <c r="A526" s="7" t="s">
        <v>535</v>
      </c>
      <c r="B526" s="11" t="s">
        <v>1189</v>
      </c>
      <c r="C526" s="7">
        <f t="shared" si="32"/>
        <v>7</v>
      </c>
      <c r="D526" s="7" t="str">
        <f t="shared" si="33"/>
        <v>Jul</v>
      </c>
      <c r="E526" s="7" t="s">
        <v>1354</v>
      </c>
      <c r="F526" s="7" t="str">
        <f t="shared" si="34"/>
        <v>Mega Utami</v>
      </c>
      <c r="G526" s="7" t="s">
        <v>1359</v>
      </c>
      <c r="H526" s="7" t="s">
        <v>1370</v>
      </c>
      <c r="I526" s="7">
        <v>2</v>
      </c>
      <c r="J526" s="7" t="str">
        <f>INDEX(Master_Produk!$C$2:$C$11,MATCH(H526,Master_Produk!$A$2:$A$11,0))</f>
        <v>Furnitur</v>
      </c>
      <c r="K526" s="8">
        <f>INDEX(Master_Produk!$E$2:$E$11,MATCH(Data_Transaksi!H526,Master_Produk!$A$2:$A$11,0))</f>
        <v>1200000</v>
      </c>
      <c r="L526" s="8">
        <f t="shared" si="35"/>
        <v>2400000</v>
      </c>
      <c r="M526" s="8">
        <f>INDEX(Master_Target!$B$2:$M$4, MATCH(J526, Master_Target!$A$2:$A$4, 0), MATCH(TEXT(B526, "[$-421]mmmm"), Master_Target!$B$1:$M$1, 0))</f>
        <v>32000000</v>
      </c>
    </row>
    <row r="527" spans="1:13" x14ac:dyDescent="0.25">
      <c r="A527" s="7" t="s">
        <v>536</v>
      </c>
      <c r="B527" s="11" t="s">
        <v>1190</v>
      </c>
      <c r="C527" s="7">
        <f t="shared" si="32"/>
        <v>7</v>
      </c>
      <c r="D527" s="7" t="str">
        <f t="shared" si="33"/>
        <v>Jul</v>
      </c>
      <c r="E527" s="7" t="s">
        <v>1350</v>
      </c>
      <c r="F527" s="7" t="str">
        <f t="shared" si="34"/>
        <v>Andi Wijaya</v>
      </c>
      <c r="G527" s="7" t="s">
        <v>1359</v>
      </c>
      <c r="H527" s="7" t="s">
        <v>1365</v>
      </c>
      <c r="I527" s="7">
        <v>2</v>
      </c>
      <c r="J527" s="7" t="str">
        <f>INDEX(Master_Produk!$C$2:$C$11,MATCH(H527,Master_Produk!$A$2:$A$11,0))</f>
        <v>Elektronik</v>
      </c>
      <c r="K527" s="8">
        <f>INDEX(Master_Produk!$E$2:$E$11,MATCH(Data_Transaksi!H527,Master_Produk!$A$2:$A$11,0))</f>
        <v>1800000</v>
      </c>
      <c r="L527" s="8">
        <f t="shared" si="35"/>
        <v>3600000</v>
      </c>
      <c r="M527" s="8">
        <f>INDEX(Master_Target!$B$2:$M$4, MATCH(J527, Master_Target!$A$2:$A$4, 0), MATCH(TEXT(B527, "[$-421]mmmm"), Master_Target!$B$1:$M$1, 0))</f>
        <v>80000000</v>
      </c>
    </row>
    <row r="528" spans="1:13" x14ac:dyDescent="0.25">
      <c r="A528" s="7" t="s">
        <v>537</v>
      </c>
      <c r="B528" s="11" t="s">
        <v>1190</v>
      </c>
      <c r="C528" s="7">
        <f t="shared" si="32"/>
        <v>7</v>
      </c>
      <c r="D528" s="7" t="str">
        <f t="shared" si="33"/>
        <v>Jul</v>
      </c>
      <c r="E528" s="7" t="s">
        <v>1351</v>
      </c>
      <c r="F528" s="7" t="str">
        <f t="shared" si="34"/>
        <v>Siti Rahma</v>
      </c>
      <c r="G528" s="7" t="s">
        <v>1358</v>
      </c>
      <c r="H528" s="7" t="s">
        <v>1364</v>
      </c>
      <c r="I528" s="7">
        <v>1</v>
      </c>
      <c r="J528" s="7" t="str">
        <f>INDEX(Master_Produk!$C$2:$C$11,MATCH(H528,Master_Produk!$A$2:$A$11,0))</f>
        <v>Furnitur</v>
      </c>
      <c r="K528" s="8">
        <f>INDEX(Master_Produk!$E$2:$E$11,MATCH(Data_Transaksi!H528,Master_Produk!$A$2:$A$11,0))</f>
        <v>950000</v>
      </c>
      <c r="L528" s="8">
        <f t="shared" si="35"/>
        <v>950000</v>
      </c>
      <c r="M528" s="8">
        <f>INDEX(Master_Target!$B$2:$M$4, MATCH(J528, Master_Target!$A$2:$A$4, 0), MATCH(TEXT(B528, "[$-421]mmmm"), Master_Target!$B$1:$M$1, 0))</f>
        <v>32000000</v>
      </c>
    </row>
    <row r="529" spans="1:13" x14ac:dyDescent="0.25">
      <c r="A529" s="7" t="s">
        <v>538</v>
      </c>
      <c r="B529" s="11" t="s">
        <v>1190</v>
      </c>
      <c r="C529" s="7">
        <f t="shared" si="32"/>
        <v>7</v>
      </c>
      <c r="D529" s="7" t="str">
        <f t="shared" si="33"/>
        <v>Jul</v>
      </c>
      <c r="E529" s="7" t="s">
        <v>1348</v>
      </c>
      <c r="F529" s="7" t="str">
        <f t="shared" si="34"/>
        <v>Budi Santoso</v>
      </c>
      <c r="G529" s="7" t="s">
        <v>1358</v>
      </c>
      <c r="H529" s="7" t="s">
        <v>1363</v>
      </c>
      <c r="I529" s="7">
        <v>1</v>
      </c>
      <c r="J529" s="7" t="str">
        <f>INDEX(Master_Produk!$C$2:$C$11,MATCH(H529,Master_Produk!$A$2:$A$11,0))</f>
        <v>Pakaian</v>
      </c>
      <c r="K529" s="8">
        <f>INDEX(Master_Produk!$E$2:$E$11,MATCH(Data_Transaksi!H529,Master_Produk!$A$2:$A$11,0))</f>
        <v>250000</v>
      </c>
      <c r="L529" s="8">
        <f t="shared" si="35"/>
        <v>250000</v>
      </c>
      <c r="M529" s="8">
        <f>INDEX(Master_Target!$B$2:$M$4, MATCH(J529, Master_Target!$A$2:$A$4, 0), MATCH(TEXT(B529, "[$-421]mmmm"), Master_Target!$B$1:$M$1, 0))</f>
        <v>24000000</v>
      </c>
    </row>
    <row r="530" spans="1:13" x14ac:dyDescent="0.25">
      <c r="A530" s="7" t="s">
        <v>539</v>
      </c>
      <c r="B530" s="11" t="s">
        <v>1191</v>
      </c>
      <c r="C530" s="7">
        <f t="shared" si="32"/>
        <v>7</v>
      </c>
      <c r="D530" s="7" t="str">
        <f t="shared" si="33"/>
        <v>Jul</v>
      </c>
      <c r="E530" s="7" t="s">
        <v>1347</v>
      </c>
      <c r="F530" s="7" t="str">
        <f t="shared" si="34"/>
        <v>Rina Marlina</v>
      </c>
      <c r="G530" s="7" t="s">
        <v>1359</v>
      </c>
      <c r="H530" s="7" t="s">
        <v>1364</v>
      </c>
      <c r="I530" s="7">
        <v>10</v>
      </c>
      <c r="J530" s="7" t="str">
        <f>INDEX(Master_Produk!$C$2:$C$11,MATCH(H530,Master_Produk!$A$2:$A$11,0))</f>
        <v>Furnitur</v>
      </c>
      <c r="K530" s="8">
        <f>INDEX(Master_Produk!$E$2:$E$11,MATCH(Data_Transaksi!H530,Master_Produk!$A$2:$A$11,0))</f>
        <v>950000</v>
      </c>
      <c r="L530" s="8">
        <f t="shared" si="35"/>
        <v>9500000</v>
      </c>
      <c r="M530" s="8">
        <f>INDEX(Master_Target!$B$2:$M$4, MATCH(J530, Master_Target!$A$2:$A$4, 0), MATCH(TEXT(B530, "[$-421]mmmm"), Master_Target!$B$1:$M$1, 0))</f>
        <v>32000000</v>
      </c>
    </row>
    <row r="531" spans="1:13" x14ac:dyDescent="0.25">
      <c r="A531" s="7" t="s">
        <v>540</v>
      </c>
      <c r="B531" s="11" t="s">
        <v>1191</v>
      </c>
      <c r="C531" s="7">
        <f t="shared" si="32"/>
        <v>7</v>
      </c>
      <c r="D531" s="7" t="str">
        <f t="shared" si="33"/>
        <v>Jul</v>
      </c>
      <c r="E531" s="7" t="s">
        <v>1354</v>
      </c>
      <c r="F531" s="7" t="str">
        <f t="shared" si="34"/>
        <v>Mega Utami</v>
      </c>
      <c r="G531" s="7" t="s">
        <v>1358</v>
      </c>
      <c r="H531" s="7" t="s">
        <v>1371</v>
      </c>
      <c r="I531" s="7">
        <v>2</v>
      </c>
      <c r="J531" s="7" t="str">
        <f>INDEX(Master_Produk!$C$2:$C$11,MATCH(H531,Master_Produk!$A$2:$A$11,0))</f>
        <v>Pakaian</v>
      </c>
      <c r="K531" s="8">
        <f>INDEX(Master_Produk!$E$2:$E$11,MATCH(Data_Transaksi!H531,Master_Produk!$A$2:$A$11,0))</f>
        <v>280000</v>
      </c>
      <c r="L531" s="8">
        <f t="shared" si="35"/>
        <v>560000</v>
      </c>
      <c r="M531" s="8">
        <f>INDEX(Master_Target!$B$2:$M$4, MATCH(J531, Master_Target!$A$2:$A$4, 0), MATCH(TEXT(B531, "[$-421]mmmm"), Master_Target!$B$1:$M$1, 0))</f>
        <v>24000000</v>
      </c>
    </row>
    <row r="532" spans="1:13" x14ac:dyDescent="0.25">
      <c r="A532" s="7" t="s">
        <v>541</v>
      </c>
      <c r="B532" s="11" t="s">
        <v>1191</v>
      </c>
      <c r="C532" s="7">
        <f t="shared" si="32"/>
        <v>7</v>
      </c>
      <c r="D532" s="7" t="str">
        <f t="shared" si="33"/>
        <v>Jul</v>
      </c>
      <c r="E532" s="7" t="s">
        <v>1350</v>
      </c>
      <c r="F532" s="7" t="str">
        <f t="shared" si="34"/>
        <v>Andi Wijaya</v>
      </c>
      <c r="G532" s="7" t="s">
        <v>1358</v>
      </c>
      <c r="H532" s="7" t="s">
        <v>1369</v>
      </c>
      <c r="I532" s="7">
        <v>4</v>
      </c>
      <c r="J532" s="7" t="str">
        <f>INDEX(Master_Produk!$C$2:$C$11,MATCH(H532,Master_Produk!$A$2:$A$11,0))</f>
        <v>Elektronik</v>
      </c>
      <c r="K532" s="8">
        <f>INDEX(Master_Produk!$E$2:$E$11,MATCH(Data_Transaksi!H532,Master_Produk!$A$2:$A$11,0))</f>
        <v>4500000</v>
      </c>
      <c r="L532" s="8">
        <f t="shared" si="35"/>
        <v>18000000</v>
      </c>
      <c r="M532" s="8">
        <f>INDEX(Master_Target!$B$2:$M$4, MATCH(J532, Master_Target!$A$2:$A$4, 0), MATCH(TEXT(B532, "[$-421]mmmm"), Master_Target!$B$1:$M$1, 0))</f>
        <v>80000000</v>
      </c>
    </row>
    <row r="533" spans="1:13" x14ac:dyDescent="0.25">
      <c r="A533" s="7" t="s">
        <v>542</v>
      </c>
      <c r="B533" s="11" t="s">
        <v>1191</v>
      </c>
      <c r="C533" s="7">
        <f t="shared" si="32"/>
        <v>7</v>
      </c>
      <c r="D533" s="7" t="str">
        <f t="shared" si="33"/>
        <v>Jul</v>
      </c>
      <c r="E533" s="7" t="s">
        <v>1351</v>
      </c>
      <c r="F533" s="7" t="str">
        <f t="shared" si="34"/>
        <v>Siti Rahma</v>
      </c>
      <c r="G533" s="7" t="s">
        <v>1357</v>
      </c>
      <c r="H533" s="7" t="s">
        <v>1367</v>
      </c>
      <c r="I533" s="7">
        <v>1</v>
      </c>
      <c r="J533" s="7" t="str">
        <f>INDEX(Master_Produk!$C$2:$C$11,MATCH(H533,Master_Produk!$A$2:$A$11,0))</f>
        <v>Elektronik</v>
      </c>
      <c r="K533" s="8">
        <f>INDEX(Master_Produk!$E$2:$E$11,MATCH(Data_Transaksi!H533,Master_Produk!$A$2:$A$11,0))</f>
        <v>250000</v>
      </c>
      <c r="L533" s="8">
        <f t="shared" si="35"/>
        <v>250000</v>
      </c>
      <c r="M533" s="8">
        <f>INDEX(Master_Target!$B$2:$M$4, MATCH(J533, Master_Target!$A$2:$A$4, 0), MATCH(TEXT(B533, "[$-421]mmmm"), Master_Target!$B$1:$M$1, 0))</f>
        <v>80000000</v>
      </c>
    </row>
    <row r="534" spans="1:13" x14ac:dyDescent="0.25">
      <c r="A534" s="7" t="s">
        <v>543</v>
      </c>
      <c r="B534" s="11" t="s">
        <v>1191</v>
      </c>
      <c r="C534" s="7">
        <f t="shared" si="32"/>
        <v>7</v>
      </c>
      <c r="D534" s="7" t="str">
        <f t="shared" si="33"/>
        <v>Jul</v>
      </c>
      <c r="E534" s="7" t="s">
        <v>1352</v>
      </c>
      <c r="F534" s="7" t="str">
        <f t="shared" si="34"/>
        <v>Ahmad Fauzi</v>
      </c>
      <c r="G534" s="7" t="s">
        <v>1357</v>
      </c>
      <c r="H534" s="7" t="s">
        <v>1371</v>
      </c>
      <c r="I534" s="7">
        <v>1</v>
      </c>
      <c r="J534" s="7" t="str">
        <f>INDEX(Master_Produk!$C$2:$C$11,MATCH(H534,Master_Produk!$A$2:$A$11,0))</f>
        <v>Pakaian</v>
      </c>
      <c r="K534" s="8">
        <f>INDEX(Master_Produk!$E$2:$E$11,MATCH(Data_Transaksi!H534,Master_Produk!$A$2:$A$11,0))</f>
        <v>280000</v>
      </c>
      <c r="L534" s="8">
        <f t="shared" si="35"/>
        <v>280000</v>
      </c>
      <c r="M534" s="8">
        <f>INDEX(Master_Target!$B$2:$M$4, MATCH(J534, Master_Target!$A$2:$A$4, 0), MATCH(TEXT(B534, "[$-421]mmmm"), Master_Target!$B$1:$M$1, 0))</f>
        <v>24000000</v>
      </c>
    </row>
    <row r="535" spans="1:13" x14ac:dyDescent="0.25">
      <c r="A535" s="7" t="s">
        <v>544</v>
      </c>
      <c r="B535" s="11" t="s">
        <v>1191</v>
      </c>
      <c r="C535" s="7">
        <f t="shared" si="32"/>
        <v>7</v>
      </c>
      <c r="D535" s="7" t="str">
        <f t="shared" si="33"/>
        <v>Jul</v>
      </c>
      <c r="E535" s="7" t="s">
        <v>1355</v>
      </c>
      <c r="F535" s="7" t="str">
        <f t="shared" si="34"/>
        <v>Bambang H.</v>
      </c>
      <c r="G535" s="7" t="s">
        <v>1360</v>
      </c>
      <c r="H535" s="7" t="s">
        <v>1369</v>
      </c>
      <c r="I535" s="7">
        <v>1</v>
      </c>
      <c r="J535" s="7" t="str">
        <f>INDEX(Master_Produk!$C$2:$C$11,MATCH(H535,Master_Produk!$A$2:$A$11,0))</f>
        <v>Elektronik</v>
      </c>
      <c r="K535" s="8">
        <f>INDEX(Master_Produk!$E$2:$E$11,MATCH(Data_Transaksi!H535,Master_Produk!$A$2:$A$11,0))</f>
        <v>4500000</v>
      </c>
      <c r="L535" s="8">
        <f t="shared" si="35"/>
        <v>4500000</v>
      </c>
      <c r="M535" s="8">
        <f>INDEX(Master_Target!$B$2:$M$4, MATCH(J535, Master_Target!$A$2:$A$4, 0), MATCH(TEXT(B535, "[$-421]mmmm"), Master_Target!$B$1:$M$1, 0))</f>
        <v>80000000</v>
      </c>
    </row>
    <row r="536" spans="1:13" x14ac:dyDescent="0.25">
      <c r="A536" s="7" t="s">
        <v>545</v>
      </c>
      <c r="B536" s="11" t="s">
        <v>1191</v>
      </c>
      <c r="C536" s="7">
        <f t="shared" si="32"/>
        <v>7</v>
      </c>
      <c r="D536" s="7" t="str">
        <f t="shared" si="33"/>
        <v>Jul</v>
      </c>
      <c r="E536" s="7" t="s">
        <v>1348</v>
      </c>
      <c r="F536" s="7" t="str">
        <f t="shared" si="34"/>
        <v>Budi Santoso</v>
      </c>
      <c r="G536" s="7" t="s">
        <v>1359</v>
      </c>
      <c r="H536" s="7" t="s">
        <v>1368</v>
      </c>
      <c r="I536" s="7">
        <v>2</v>
      </c>
      <c r="J536" s="7" t="str">
        <f>INDEX(Master_Produk!$C$2:$C$11,MATCH(H536,Master_Produk!$A$2:$A$11,0))</f>
        <v>Furnitur</v>
      </c>
      <c r="K536" s="8">
        <f>INDEX(Master_Produk!$E$2:$E$11,MATCH(Data_Transaksi!H536,Master_Produk!$A$2:$A$11,0))</f>
        <v>650000</v>
      </c>
      <c r="L536" s="8">
        <f t="shared" si="35"/>
        <v>1300000</v>
      </c>
      <c r="M536" s="8">
        <f>INDEX(Master_Target!$B$2:$M$4, MATCH(J536, Master_Target!$A$2:$A$4, 0), MATCH(TEXT(B536, "[$-421]mmmm"), Master_Target!$B$1:$M$1, 0))</f>
        <v>32000000</v>
      </c>
    </row>
    <row r="537" spans="1:13" x14ac:dyDescent="0.25">
      <c r="A537" s="7" t="s">
        <v>546</v>
      </c>
      <c r="B537" s="11" t="s">
        <v>1192</v>
      </c>
      <c r="C537" s="7">
        <f t="shared" si="32"/>
        <v>7</v>
      </c>
      <c r="D537" s="7" t="str">
        <f t="shared" si="33"/>
        <v>Jul</v>
      </c>
      <c r="E537" s="7" t="s">
        <v>1352</v>
      </c>
      <c r="F537" s="7" t="str">
        <f t="shared" si="34"/>
        <v>Ahmad Fauzi</v>
      </c>
      <c r="G537" s="7" t="s">
        <v>1361</v>
      </c>
      <c r="H537" s="7" t="s">
        <v>1364</v>
      </c>
      <c r="I537" s="7">
        <v>1</v>
      </c>
      <c r="J537" s="7" t="str">
        <f>INDEX(Master_Produk!$C$2:$C$11,MATCH(H537,Master_Produk!$A$2:$A$11,0))</f>
        <v>Furnitur</v>
      </c>
      <c r="K537" s="8">
        <f>INDEX(Master_Produk!$E$2:$E$11,MATCH(Data_Transaksi!H537,Master_Produk!$A$2:$A$11,0))</f>
        <v>950000</v>
      </c>
      <c r="L537" s="8">
        <f t="shared" si="35"/>
        <v>950000</v>
      </c>
      <c r="M537" s="8">
        <f>INDEX(Master_Target!$B$2:$M$4, MATCH(J537, Master_Target!$A$2:$A$4, 0), MATCH(TEXT(B537, "[$-421]mmmm"), Master_Target!$B$1:$M$1, 0))</f>
        <v>32000000</v>
      </c>
    </row>
    <row r="538" spans="1:13" x14ac:dyDescent="0.25">
      <c r="A538" s="7" t="s">
        <v>547</v>
      </c>
      <c r="B538" s="11" t="s">
        <v>1192</v>
      </c>
      <c r="C538" s="7">
        <f t="shared" si="32"/>
        <v>7</v>
      </c>
      <c r="D538" s="7" t="str">
        <f t="shared" si="33"/>
        <v>Jul</v>
      </c>
      <c r="E538" s="7" t="s">
        <v>1350</v>
      </c>
      <c r="F538" s="7" t="str">
        <f t="shared" si="34"/>
        <v>Andi Wijaya</v>
      </c>
      <c r="G538" s="7" t="s">
        <v>1359</v>
      </c>
      <c r="H538" s="7" t="s">
        <v>1366</v>
      </c>
      <c r="I538" s="7">
        <v>4</v>
      </c>
      <c r="J538" s="7" t="str">
        <f>INDEX(Master_Produk!$C$2:$C$11,MATCH(H538,Master_Produk!$A$2:$A$11,0))</f>
        <v>Elektronik</v>
      </c>
      <c r="K538" s="8">
        <f>INDEX(Master_Produk!$E$2:$E$11,MATCH(Data_Transaksi!H538,Master_Produk!$A$2:$A$11,0))</f>
        <v>7500000</v>
      </c>
      <c r="L538" s="8">
        <f t="shared" si="35"/>
        <v>30000000</v>
      </c>
      <c r="M538" s="8">
        <f>INDEX(Master_Target!$B$2:$M$4, MATCH(J538, Master_Target!$A$2:$A$4, 0), MATCH(TEXT(B538, "[$-421]mmmm"), Master_Target!$B$1:$M$1, 0))</f>
        <v>80000000</v>
      </c>
    </row>
    <row r="539" spans="1:13" x14ac:dyDescent="0.25">
      <c r="A539" s="7" t="s">
        <v>548</v>
      </c>
      <c r="B539" s="11" t="s">
        <v>1192</v>
      </c>
      <c r="C539" s="7">
        <f t="shared" si="32"/>
        <v>7</v>
      </c>
      <c r="D539" s="7" t="str">
        <f t="shared" si="33"/>
        <v>Jul</v>
      </c>
      <c r="E539" s="7" t="s">
        <v>1347</v>
      </c>
      <c r="F539" s="7" t="str">
        <f t="shared" si="34"/>
        <v>Rina Marlina</v>
      </c>
      <c r="G539" s="7" t="s">
        <v>1359</v>
      </c>
      <c r="H539" s="7" t="s">
        <v>1363</v>
      </c>
      <c r="I539" s="7">
        <v>2</v>
      </c>
      <c r="J539" s="7" t="str">
        <f>INDEX(Master_Produk!$C$2:$C$11,MATCH(H539,Master_Produk!$A$2:$A$11,0))</f>
        <v>Pakaian</v>
      </c>
      <c r="K539" s="8">
        <f>INDEX(Master_Produk!$E$2:$E$11,MATCH(Data_Transaksi!H539,Master_Produk!$A$2:$A$11,0))</f>
        <v>250000</v>
      </c>
      <c r="L539" s="8">
        <f t="shared" si="35"/>
        <v>500000</v>
      </c>
      <c r="M539" s="8">
        <f>INDEX(Master_Target!$B$2:$M$4, MATCH(J539, Master_Target!$A$2:$A$4, 0), MATCH(TEXT(B539, "[$-421]mmmm"), Master_Target!$B$1:$M$1, 0))</f>
        <v>24000000</v>
      </c>
    </row>
    <row r="540" spans="1:13" x14ac:dyDescent="0.25">
      <c r="A540" s="7" t="s">
        <v>549</v>
      </c>
      <c r="B540" s="11" t="s">
        <v>1193</v>
      </c>
      <c r="C540" s="7">
        <f t="shared" si="32"/>
        <v>7</v>
      </c>
      <c r="D540" s="7" t="str">
        <f t="shared" si="33"/>
        <v>Jul</v>
      </c>
      <c r="E540" s="7" t="s">
        <v>1355</v>
      </c>
      <c r="F540" s="7" t="str">
        <f t="shared" si="34"/>
        <v>Bambang H.</v>
      </c>
      <c r="G540" s="7" t="s">
        <v>1357</v>
      </c>
      <c r="H540" s="7" t="s">
        <v>1365</v>
      </c>
      <c r="I540" s="7">
        <v>5</v>
      </c>
      <c r="J540" s="7" t="str">
        <f>INDEX(Master_Produk!$C$2:$C$11,MATCH(H540,Master_Produk!$A$2:$A$11,0))</f>
        <v>Elektronik</v>
      </c>
      <c r="K540" s="8">
        <f>INDEX(Master_Produk!$E$2:$E$11,MATCH(Data_Transaksi!H540,Master_Produk!$A$2:$A$11,0))</f>
        <v>1800000</v>
      </c>
      <c r="L540" s="8">
        <f t="shared" si="35"/>
        <v>9000000</v>
      </c>
      <c r="M540" s="8">
        <f>INDEX(Master_Target!$B$2:$M$4, MATCH(J540, Master_Target!$A$2:$A$4, 0), MATCH(TEXT(B540, "[$-421]mmmm"), Master_Target!$B$1:$M$1, 0))</f>
        <v>80000000</v>
      </c>
    </row>
    <row r="541" spans="1:13" x14ac:dyDescent="0.25">
      <c r="A541" s="7" t="s">
        <v>550</v>
      </c>
      <c r="B541" s="11" t="s">
        <v>1193</v>
      </c>
      <c r="C541" s="7">
        <f t="shared" si="32"/>
        <v>7</v>
      </c>
      <c r="D541" s="7" t="str">
        <f t="shared" si="33"/>
        <v>Jul</v>
      </c>
      <c r="E541" s="7" t="s">
        <v>1351</v>
      </c>
      <c r="F541" s="7" t="str">
        <f t="shared" si="34"/>
        <v>Siti Rahma</v>
      </c>
      <c r="G541" s="7" t="s">
        <v>1357</v>
      </c>
      <c r="H541" s="7" t="s">
        <v>1362</v>
      </c>
      <c r="I541" s="7">
        <v>1</v>
      </c>
      <c r="J541" s="7" t="str">
        <f>INDEX(Master_Produk!$C$2:$C$11,MATCH(H541,Master_Produk!$A$2:$A$11,0))</f>
        <v>Pakaian</v>
      </c>
      <c r="K541" s="8">
        <f>INDEX(Master_Produk!$E$2:$E$11,MATCH(Data_Transaksi!H541,Master_Produk!$A$2:$A$11,0))</f>
        <v>350000</v>
      </c>
      <c r="L541" s="8">
        <f t="shared" si="35"/>
        <v>350000</v>
      </c>
      <c r="M541" s="8">
        <f>INDEX(Master_Target!$B$2:$M$4, MATCH(J541, Master_Target!$A$2:$A$4, 0), MATCH(TEXT(B541, "[$-421]mmmm"), Master_Target!$B$1:$M$1, 0))</f>
        <v>24000000</v>
      </c>
    </row>
    <row r="542" spans="1:13" x14ac:dyDescent="0.25">
      <c r="A542" s="7" t="s">
        <v>551</v>
      </c>
      <c r="B542" s="11" t="s">
        <v>1193</v>
      </c>
      <c r="C542" s="7">
        <f t="shared" si="32"/>
        <v>7</v>
      </c>
      <c r="D542" s="7" t="str">
        <f t="shared" si="33"/>
        <v>Jul</v>
      </c>
      <c r="E542" s="7" t="s">
        <v>1355</v>
      </c>
      <c r="F542" s="7" t="str">
        <f t="shared" si="34"/>
        <v>Bambang H.</v>
      </c>
      <c r="G542" s="7" t="s">
        <v>1358</v>
      </c>
      <c r="H542" s="7" t="s">
        <v>1362</v>
      </c>
      <c r="I542" s="7">
        <v>4</v>
      </c>
      <c r="J542" s="7" t="str">
        <f>INDEX(Master_Produk!$C$2:$C$11,MATCH(H542,Master_Produk!$A$2:$A$11,0))</f>
        <v>Pakaian</v>
      </c>
      <c r="K542" s="8">
        <f>INDEX(Master_Produk!$E$2:$E$11,MATCH(Data_Transaksi!H542,Master_Produk!$A$2:$A$11,0))</f>
        <v>350000</v>
      </c>
      <c r="L542" s="8">
        <f t="shared" si="35"/>
        <v>1400000</v>
      </c>
      <c r="M542" s="8">
        <f>INDEX(Master_Target!$B$2:$M$4, MATCH(J542, Master_Target!$A$2:$A$4, 0), MATCH(TEXT(B542, "[$-421]mmmm"), Master_Target!$B$1:$M$1, 0))</f>
        <v>24000000</v>
      </c>
    </row>
    <row r="543" spans="1:13" x14ac:dyDescent="0.25">
      <c r="A543" s="7" t="s">
        <v>552</v>
      </c>
      <c r="B543" s="11" t="s">
        <v>1194</v>
      </c>
      <c r="C543" s="7">
        <f t="shared" si="32"/>
        <v>7</v>
      </c>
      <c r="D543" s="7" t="str">
        <f t="shared" si="33"/>
        <v>Jul</v>
      </c>
      <c r="E543" s="7" t="s">
        <v>1352</v>
      </c>
      <c r="F543" s="7" t="str">
        <f t="shared" si="34"/>
        <v>Ahmad Fauzi</v>
      </c>
      <c r="G543" s="7" t="s">
        <v>1361</v>
      </c>
      <c r="H543" s="7" t="s">
        <v>1366</v>
      </c>
      <c r="I543" s="7">
        <v>3</v>
      </c>
      <c r="J543" s="7" t="str">
        <f>INDEX(Master_Produk!$C$2:$C$11,MATCH(H543,Master_Produk!$A$2:$A$11,0))</f>
        <v>Elektronik</v>
      </c>
      <c r="K543" s="8">
        <f>INDEX(Master_Produk!$E$2:$E$11,MATCH(Data_Transaksi!H543,Master_Produk!$A$2:$A$11,0))</f>
        <v>7500000</v>
      </c>
      <c r="L543" s="8">
        <f t="shared" si="35"/>
        <v>22500000</v>
      </c>
      <c r="M543" s="8">
        <f>INDEX(Master_Target!$B$2:$M$4, MATCH(J543, Master_Target!$A$2:$A$4, 0), MATCH(TEXT(B543, "[$-421]mmmm"), Master_Target!$B$1:$M$1, 0))</f>
        <v>80000000</v>
      </c>
    </row>
    <row r="544" spans="1:13" x14ac:dyDescent="0.25">
      <c r="A544" s="7" t="s">
        <v>553</v>
      </c>
      <c r="B544" s="11" t="s">
        <v>1194</v>
      </c>
      <c r="C544" s="7">
        <f t="shared" si="32"/>
        <v>7</v>
      </c>
      <c r="D544" s="7" t="str">
        <f t="shared" si="33"/>
        <v>Jul</v>
      </c>
      <c r="E544" s="7" t="s">
        <v>1352</v>
      </c>
      <c r="F544" s="7" t="str">
        <f t="shared" si="34"/>
        <v>Ahmad Fauzi</v>
      </c>
      <c r="G544" s="7" t="s">
        <v>1357</v>
      </c>
      <c r="H544" s="7" t="s">
        <v>1369</v>
      </c>
      <c r="I544" s="7">
        <v>3</v>
      </c>
      <c r="J544" s="7" t="str">
        <f>INDEX(Master_Produk!$C$2:$C$11,MATCH(H544,Master_Produk!$A$2:$A$11,0))</f>
        <v>Elektronik</v>
      </c>
      <c r="K544" s="8">
        <f>INDEX(Master_Produk!$E$2:$E$11,MATCH(Data_Transaksi!H544,Master_Produk!$A$2:$A$11,0))</f>
        <v>4500000</v>
      </c>
      <c r="L544" s="8">
        <f t="shared" si="35"/>
        <v>13500000</v>
      </c>
      <c r="M544" s="8">
        <f>INDEX(Master_Target!$B$2:$M$4, MATCH(J544, Master_Target!$A$2:$A$4, 0), MATCH(TEXT(B544, "[$-421]mmmm"), Master_Target!$B$1:$M$1, 0))</f>
        <v>80000000</v>
      </c>
    </row>
    <row r="545" spans="1:13" x14ac:dyDescent="0.25">
      <c r="A545" s="7" t="s">
        <v>554</v>
      </c>
      <c r="B545" s="11" t="s">
        <v>1195</v>
      </c>
      <c r="C545" s="7">
        <f t="shared" si="32"/>
        <v>7</v>
      </c>
      <c r="D545" s="7" t="str">
        <f t="shared" si="33"/>
        <v>Jul</v>
      </c>
      <c r="E545" s="7" t="s">
        <v>1353</v>
      </c>
      <c r="F545" s="7" t="str">
        <f t="shared" si="34"/>
        <v>Sari Yuliana</v>
      </c>
      <c r="G545" s="7" t="s">
        <v>1358</v>
      </c>
      <c r="H545" s="7" t="s">
        <v>1364</v>
      </c>
      <c r="I545" s="7">
        <v>3</v>
      </c>
      <c r="J545" s="7" t="str">
        <f>INDEX(Master_Produk!$C$2:$C$11,MATCH(H545,Master_Produk!$A$2:$A$11,0))</f>
        <v>Furnitur</v>
      </c>
      <c r="K545" s="8">
        <f>INDEX(Master_Produk!$E$2:$E$11,MATCH(Data_Transaksi!H545,Master_Produk!$A$2:$A$11,0))</f>
        <v>950000</v>
      </c>
      <c r="L545" s="8">
        <f t="shared" si="35"/>
        <v>2850000</v>
      </c>
      <c r="M545" s="8">
        <f>INDEX(Master_Target!$B$2:$M$4, MATCH(J545, Master_Target!$A$2:$A$4, 0), MATCH(TEXT(B545, "[$-421]mmmm"), Master_Target!$B$1:$M$1, 0))</f>
        <v>32000000</v>
      </c>
    </row>
    <row r="546" spans="1:13" x14ac:dyDescent="0.25">
      <c r="A546" s="7" t="s">
        <v>555</v>
      </c>
      <c r="B546" s="11" t="s">
        <v>1195</v>
      </c>
      <c r="C546" s="7">
        <f t="shared" si="32"/>
        <v>7</v>
      </c>
      <c r="D546" s="7" t="str">
        <f t="shared" si="33"/>
        <v>Jul</v>
      </c>
      <c r="E546" s="7" t="s">
        <v>1356</v>
      </c>
      <c r="F546" s="7" t="str">
        <f t="shared" si="34"/>
        <v>Eko Prasetyo</v>
      </c>
      <c r="G546" s="7" t="s">
        <v>1361</v>
      </c>
      <c r="H546" s="7" t="s">
        <v>1362</v>
      </c>
      <c r="I546" s="7">
        <v>3</v>
      </c>
      <c r="J546" s="7" t="str">
        <f>INDEX(Master_Produk!$C$2:$C$11,MATCH(H546,Master_Produk!$A$2:$A$11,0))</f>
        <v>Pakaian</v>
      </c>
      <c r="K546" s="8">
        <f>INDEX(Master_Produk!$E$2:$E$11,MATCH(Data_Transaksi!H546,Master_Produk!$A$2:$A$11,0))</f>
        <v>350000</v>
      </c>
      <c r="L546" s="8">
        <f t="shared" si="35"/>
        <v>1050000</v>
      </c>
      <c r="M546" s="8">
        <f>INDEX(Master_Target!$B$2:$M$4, MATCH(J546, Master_Target!$A$2:$A$4, 0), MATCH(TEXT(B546, "[$-421]mmmm"), Master_Target!$B$1:$M$1, 0))</f>
        <v>24000000</v>
      </c>
    </row>
    <row r="547" spans="1:13" x14ac:dyDescent="0.25">
      <c r="A547" s="7" t="s">
        <v>556</v>
      </c>
      <c r="B547" s="11" t="s">
        <v>1196</v>
      </c>
      <c r="C547" s="7">
        <f t="shared" si="32"/>
        <v>7</v>
      </c>
      <c r="D547" s="7" t="str">
        <f t="shared" si="33"/>
        <v>Jul</v>
      </c>
      <c r="E547" s="7" t="s">
        <v>1355</v>
      </c>
      <c r="F547" s="7" t="str">
        <f t="shared" si="34"/>
        <v>Bambang H.</v>
      </c>
      <c r="G547" s="7" t="s">
        <v>1357</v>
      </c>
      <c r="H547" s="7" t="s">
        <v>1368</v>
      </c>
      <c r="I547" s="7">
        <v>2</v>
      </c>
      <c r="J547" s="7" t="str">
        <f>INDEX(Master_Produk!$C$2:$C$11,MATCH(H547,Master_Produk!$A$2:$A$11,0))</f>
        <v>Furnitur</v>
      </c>
      <c r="K547" s="8">
        <f>INDEX(Master_Produk!$E$2:$E$11,MATCH(Data_Transaksi!H547,Master_Produk!$A$2:$A$11,0))</f>
        <v>650000</v>
      </c>
      <c r="L547" s="8">
        <f t="shared" si="35"/>
        <v>1300000</v>
      </c>
      <c r="M547" s="8">
        <f>INDEX(Master_Target!$B$2:$M$4, MATCH(J547, Master_Target!$A$2:$A$4, 0), MATCH(TEXT(B547, "[$-421]mmmm"), Master_Target!$B$1:$M$1, 0))</f>
        <v>32000000</v>
      </c>
    </row>
    <row r="548" spans="1:13" x14ac:dyDescent="0.25">
      <c r="A548" s="7" t="s">
        <v>557</v>
      </c>
      <c r="B548" s="11" t="s">
        <v>1196</v>
      </c>
      <c r="C548" s="7">
        <f t="shared" si="32"/>
        <v>7</v>
      </c>
      <c r="D548" s="7" t="str">
        <f t="shared" si="33"/>
        <v>Jul</v>
      </c>
      <c r="E548" s="7" t="s">
        <v>1353</v>
      </c>
      <c r="F548" s="7" t="str">
        <f t="shared" si="34"/>
        <v>Sari Yuliana</v>
      </c>
      <c r="G548" s="7" t="s">
        <v>1359</v>
      </c>
      <c r="H548" s="7" t="s">
        <v>1364</v>
      </c>
      <c r="I548" s="7">
        <v>1</v>
      </c>
      <c r="J548" s="7" t="str">
        <f>INDEX(Master_Produk!$C$2:$C$11,MATCH(H548,Master_Produk!$A$2:$A$11,0))</f>
        <v>Furnitur</v>
      </c>
      <c r="K548" s="8">
        <f>INDEX(Master_Produk!$E$2:$E$11,MATCH(Data_Transaksi!H548,Master_Produk!$A$2:$A$11,0))</f>
        <v>950000</v>
      </c>
      <c r="L548" s="8">
        <f t="shared" si="35"/>
        <v>950000</v>
      </c>
      <c r="M548" s="8">
        <f>INDEX(Master_Target!$B$2:$M$4, MATCH(J548, Master_Target!$A$2:$A$4, 0), MATCH(TEXT(B548, "[$-421]mmmm"), Master_Target!$B$1:$M$1, 0))</f>
        <v>32000000</v>
      </c>
    </row>
    <row r="549" spans="1:13" x14ac:dyDescent="0.25">
      <c r="A549" s="7" t="s">
        <v>558</v>
      </c>
      <c r="B549" s="11" t="s">
        <v>1196</v>
      </c>
      <c r="C549" s="7">
        <f t="shared" si="32"/>
        <v>7</v>
      </c>
      <c r="D549" s="7" t="str">
        <f t="shared" si="33"/>
        <v>Jul</v>
      </c>
      <c r="E549" s="7" t="s">
        <v>1352</v>
      </c>
      <c r="F549" s="7" t="str">
        <f t="shared" si="34"/>
        <v>Ahmad Fauzi</v>
      </c>
      <c r="G549" s="7" t="s">
        <v>1359</v>
      </c>
      <c r="H549" s="7" t="s">
        <v>1367</v>
      </c>
      <c r="I549" s="7">
        <v>1</v>
      </c>
      <c r="J549" s="7" t="str">
        <f>INDEX(Master_Produk!$C$2:$C$11,MATCH(H549,Master_Produk!$A$2:$A$11,0))</f>
        <v>Elektronik</v>
      </c>
      <c r="K549" s="8">
        <f>INDEX(Master_Produk!$E$2:$E$11,MATCH(Data_Transaksi!H549,Master_Produk!$A$2:$A$11,0))</f>
        <v>250000</v>
      </c>
      <c r="L549" s="8">
        <f t="shared" si="35"/>
        <v>250000</v>
      </c>
      <c r="M549" s="8">
        <f>INDEX(Master_Target!$B$2:$M$4, MATCH(J549, Master_Target!$A$2:$A$4, 0), MATCH(TEXT(B549, "[$-421]mmmm"), Master_Target!$B$1:$M$1, 0))</f>
        <v>80000000</v>
      </c>
    </row>
    <row r="550" spans="1:13" x14ac:dyDescent="0.25">
      <c r="A550" s="7" t="s">
        <v>559</v>
      </c>
      <c r="B550" s="11" t="s">
        <v>1196</v>
      </c>
      <c r="C550" s="7">
        <f t="shared" si="32"/>
        <v>7</v>
      </c>
      <c r="D550" s="7" t="str">
        <f t="shared" si="33"/>
        <v>Jul</v>
      </c>
      <c r="E550" s="7" t="s">
        <v>1354</v>
      </c>
      <c r="F550" s="7" t="str">
        <f t="shared" si="34"/>
        <v>Mega Utami</v>
      </c>
      <c r="G550" s="7" t="s">
        <v>1361</v>
      </c>
      <c r="H550" s="7" t="s">
        <v>1364</v>
      </c>
      <c r="I550" s="7">
        <v>4</v>
      </c>
      <c r="J550" s="7" t="str">
        <f>INDEX(Master_Produk!$C$2:$C$11,MATCH(H550,Master_Produk!$A$2:$A$11,0))</f>
        <v>Furnitur</v>
      </c>
      <c r="K550" s="8">
        <f>INDEX(Master_Produk!$E$2:$E$11,MATCH(Data_Transaksi!H550,Master_Produk!$A$2:$A$11,0))</f>
        <v>950000</v>
      </c>
      <c r="L550" s="8">
        <f t="shared" si="35"/>
        <v>3800000</v>
      </c>
      <c r="M550" s="8">
        <f>INDEX(Master_Target!$B$2:$M$4, MATCH(J550, Master_Target!$A$2:$A$4, 0), MATCH(TEXT(B550, "[$-421]mmmm"), Master_Target!$B$1:$M$1, 0))</f>
        <v>32000000</v>
      </c>
    </row>
    <row r="551" spans="1:13" x14ac:dyDescent="0.25">
      <c r="A551" s="7" t="s">
        <v>560</v>
      </c>
      <c r="B551" s="11" t="s">
        <v>1197</v>
      </c>
      <c r="C551" s="7">
        <f t="shared" si="32"/>
        <v>7</v>
      </c>
      <c r="D551" s="7" t="str">
        <f t="shared" si="33"/>
        <v>Jul</v>
      </c>
      <c r="E551" s="7" t="s">
        <v>1352</v>
      </c>
      <c r="F551" s="7" t="str">
        <f t="shared" si="34"/>
        <v>Ahmad Fauzi</v>
      </c>
      <c r="G551" s="7" t="s">
        <v>1361</v>
      </c>
      <c r="H551" s="7" t="s">
        <v>1371</v>
      </c>
      <c r="I551" s="7">
        <v>2</v>
      </c>
      <c r="J551" s="7" t="str">
        <f>INDEX(Master_Produk!$C$2:$C$11,MATCH(H551,Master_Produk!$A$2:$A$11,0))</f>
        <v>Pakaian</v>
      </c>
      <c r="K551" s="8">
        <f>INDEX(Master_Produk!$E$2:$E$11,MATCH(Data_Transaksi!H551,Master_Produk!$A$2:$A$11,0))</f>
        <v>280000</v>
      </c>
      <c r="L551" s="8">
        <f t="shared" si="35"/>
        <v>560000</v>
      </c>
      <c r="M551" s="8">
        <f>INDEX(Master_Target!$B$2:$M$4, MATCH(J551, Master_Target!$A$2:$A$4, 0), MATCH(TEXT(B551, "[$-421]mmmm"), Master_Target!$B$1:$M$1, 0))</f>
        <v>24000000</v>
      </c>
    </row>
    <row r="552" spans="1:13" x14ac:dyDescent="0.25">
      <c r="A552" s="7" t="s">
        <v>561</v>
      </c>
      <c r="B552" s="11" t="s">
        <v>1198</v>
      </c>
      <c r="C552" s="7">
        <f t="shared" si="32"/>
        <v>7</v>
      </c>
      <c r="D552" s="7" t="str">
        <f t="shared" si="33"/>
        <v>Jul</v>
      </c>
      <c r="E552" s="7" t="s">
        <v>1355</v>
      </c>
      <c r="F552" s="7" t="str">
        <f t="shared" si="34"/>
        <v>Bambang H.</v>
      </c>
      <c r="G552" s="7" t="s">
        <v>1357</v>
      </c>
      <c r="H552" s="7" t="s">
        <v>1363</v>
      </c>
      <c r="I552" s="7">
        <v>3</v>
      </c>
      <c r="J552" s="7" t="str">
        <f>INDEX(Master_Produk!$C$2:$C$11,MATCH(H552,Master_Produk!$A$2:$A$11,0))</f>
        <v>Pakaian</v>
      </c>
      <c r="K552" s="8">
        <f>INDEX(Master_Produk!$E$2:$E$11,MATCH(Data_Transaksi!H552,Master_Produk!$A$2:$A$11,0))</f>
        <v>250000</v>
      </c>
      <c r="L552" s="8">
        <f t="shared" si="35"/>
        <v>750000</v>
      </c>
      <c r="M552" s="8">
        <f>INDEX(Master_Target!$B$2:$M$4, MATCH(J552, Master_Target!$A$2:$A$4, 0), MATCH(TEXT(B552, "[$-421]mmmm"), Master_Target!$B$1:$M$1, 0))</f>
        <v>24000000</v>
      </c>
    </row>
    <row r="553" spans="1:13" x14ac:dyDescent="0.25">
      <c r="A553" s="7" t="s">
        <v>562</v>
      </c>
      <c r="B553" s="11" t="s">
        <v>1198</v>
      </c>
      <c r="C553" s="7">
        <f t="shared" si="32"/>
        <v>7</v>
      </c>
      <c r="D553" s="7" t="str">
        <f t="shared" si="33"/>
        <v>Jul</v>
      </c>
      <c r="E553" s="7" t="s">
        <v>1351</v>
      </c>
      <c r="F553" s="7" t="str">
        <f t="shared" si="34"/>
        <v>Siti Rahma</v>
      </c>
      <c r="G553" s="7" t="s">
        <v>1357</v>
      </c>
      <c r="H553" s="7" t="s">
        <v>1366</v>
      </c>
      <c r="I553" s="7">
        <v>2</v>
      </c>
      <c r="J553" s="7" t="str">
        <f>INDEX(Master_Produk!$C$2:$C$11,MATCH(H553,Master_Produk!$A$2:$A$11,0))</f>
        <v>Elektronik</v>
      </c>
      <c r="K553" s="8">
        <f>INDEX(Master_Produk!$E$2:$E$11,MATCH(Data_Transaksi!H553,Master_Produk!$A$2:$A$11,0))</f>
        <v>7500000</v>
      </c>
      <c r="L553" s="8">
        <f t="shared" si="35"/>
        <v>15000000</v>
      </c>
      <c r="M553" s="8">
        <f>INDEX(Master_Target!$B$2:$M$4, MATCH(J553, Master_Target!$A$2:$A$4, 0), MATCH(TEXT(B553, "[$-421]mmmm"), Master_Target!$B$1:$M$1, 0))</f>
        <v>80000000</v>
      </c>
    </row>
    <row r="554" spans="1:13" x14ac:dyDescent="0.25">
      <c r="A554" s="7" t="s">
        <v>563</v>
      </c>
      <c r="B554" s="11" t="s">
        <v>1198</v>
      </c>
      <c r="C554" s="7">
        <f t="shared" si="32"/>
        <v>7</v>
      </c>
      <c r="D554" s="7" t="str">
        <f t="shared" si="33"/>
        <v>Jul</v>
      </c>
      <c r="E554" s="7" t="s">
        <v>1355</v>
      </c>
      <c r="F554" s="7" t="str">
        <f t="shared" si="34"/>
        <v>Bambang H.</v>
      </c>
      <c r="G554" s="7" t="s">
        <v>1361</v>
      </c>
      <c r="H554" s="7" t="s">
        <v>1364</v>
      </c>
      <c r="I554" s="7">
        <v>1</v>
      </c>
      <c r="J554" s="7" t="str">
        <f>INDEX(Master_Produk!$C$2:$C$11,MATCH(H554,Master_Produk!$A$2:$A$11,0))</f>
        <v>Furnitur</v>
      </c>
      <c r="K554" s="8">
        <f>INDEX(Master_Produk!$E$2:$E$11,MATCH(Data_Transaksi!H554,Master_Produk!$A$2:$A$11,0))</f>
        <v>950000</v>
      </c>
      <c r="L554" s="8">
        <f t="shared" si="35"/>
        <v>950000</v>
      </c>
      <c r="M554" s="8">
        <f>INDEX(Master_Target!$B$2:$M$4, MATCH(J554, Master_Target!$A$2:$A$4, 0), MATCH(TEXT(B554, "[$-421]mmmm"), Master_Target!$B$1:$M$1, 0))</f>
        <v>32000000</v>
      </c>
    </row>
    <row r="555" spans="1:13" x14ac:dyDescent="0.25">
      <c r="A555" s="7" t="s">
        <v>564</v>
      </c>
      <c r="B555" s="11" t="s">
        <v>1199</v>
      </c>
      <c r="C555" s="7">
        <f t="shared" si="32"/>
        <v>7</v>
      </c>
      <c r="D555" s="7" t="str">
        <f t="shared" si="33"/>
        <v>Jul</v>
      </c>
      <c r="E555" s="7" t="s">
        <v>1355</v>
      </c>
      <c r="F555" s="7" t="str">
        <f t="shared" si="34"/>
        <v>Bambang H.</v>
      </c>
      <c r="G555" s="7" t="s">
        <v>1361</v>
      </c>
      <c r="H555" s="7" t="s">
        <v>1364</v>
      </c>
      <c r="I555" s="7">
        <v>1</v>
      </c>
      <c r="J555" s="7" t="str">
        <f>INDEX(Master_Produk!$C$2:$C$11,MATCH(H555,Master_Produk!$A$2:$A$11,0))</f>
        <v>Furnitur</v>
      </c>
      <c r="K555" s="8">
        <f>INDEX(Master_Produk!$E$2:$E$11,MATCH(Data_Transaksi!H555,Master_Produk!$A$2:$A$11,0))</f>
        <v>950000</v>
      </c>
      <c r="L555" s="8">
        <f t="shared" si="35"/>
        <v>950000</v>
      </c>
      <c r="M555" s="8">
        <f>INDEX(Master_Target!$B$2:$M$4, MATCH(J555, Master_Target!$A$2:$A$4, 0), MATCH(TEXT(B555, "[$-421]mmmm"), Master_Target!$B$1:$M$1, 0))</f>
        <v>32000000</v>
      </c>
    </row>
    <row r="556" spans="1:13" x14ac:dyDescent="0.25">
      <c r="A556" s="7" t="s">
        <v>565</v>
      </c>
      <c r="B556" s="11" t="s">
        <v>1199</v>
      </c>
      <c r="C556" s="7">
        <f t="shared" si="32"/>
        <v>7</v>
      </c>
      <c r="D556" s="7" t="str">
        <f t="shared" si="33"/>
        <v>Jul</v>
      </c>
      <c r="E556" s="7" t="s">
        <v>1349</v>
      </c>
      <c r="F556" s="7" t="str">
        <f t="shared" si="34"/>
        <v>Dewi Lestari</v>
      </c>
      <c r="G556" s="7" t="s">
        <v>1358</v>
      </c>
      <c r="H556" s="7" t="s">
        <v>1369</v>
      </c>
      <c r="I556" s="7">
        <v>2</v>
      </c>
      <c r="J556" s="7" t="str">
        <f>INDEX(Master_Produk!$C$2:$C$11,MATCH(H556,Master_Produk!$A$2:$A$11,0))</f>
        <v>Elektronik</v>
      </c>
      <c r="K556" s="8">
        <f>INDEX(Master_Produk!$E$2:$E$11,MATCH(Data_Transaksi!H556,Master_Produk!$A$2:$A$11,0))</f>
        <v>4500000</v>
      </c>
      <c r="L556" s="8">
        <f t="shared" si="35"/>
        <v>9000000</v>
      </c>
      <c r="M556" s="8">
        <f>INDEX(Master_Target!$B$2:$M$4, MATCH(J556, Master_Target!$A$2:$A$4, 0), MATCH(TEXT(B556, "[$-421]mmmm"), Master_Target!$B$1:$M$1, 0))</f>
        <v>80000000</v>
      </c>
    </row>
    <row r="557" spans="1:13" x14ac:dyDescent="0.25">
      <c r="A557" s="7" t="s">
        <v>566</v>
      </c>
      <c r="B557" s="11" t="s">
        <v>1199</v>
      </c>
      <c r="C557" s="7">
        <f t="shared" si="32"/>
        <v>7</v>
      </c>
      <c r="D557" s="7" t="str">
        <f t="shared" si="33"/>
        <v>Jul</v>
      </c>
      <c r="E557" s="7" t="s">
        <v>1350</v>
      </c>
      <c r="F557" s="7" t="str">
        <f t="shared" si="34"/>
        <v>Andi Wijaya</v>
      </c>
      <c r="G557" s="7" t="s">
        <v>1358</v>
      </c>
      <c r="H557" s="7" t="s">
        <v>1367</v>
      </c>
      <c r="I557" s="7">
        <v>2</v>
      </c>
      <c r="J557" s="7" t="str">
        <f>INDEX(Master_Produk!$C$2:$C$11,MATCH(H557,Master_Produk!$A$2:$A$11,0))</f>
        <v>Elektronik</v>
      </c>
      <c r="K557" s="8">
        <f>INDEX(Master_Produk!$E$2:$E$11,MATCH(Data_Transaksi!H557,Master_Produk!$A$2:$A$11,0))</f>
        <v>250000</v>
      </c>
      <c r="L557" s="8">
        <f t="shared" si="35"/>
        <v>500000</v>
      </c>
      <c r="M557" s="8">
        <f>INDEX(Master_Target!$B$2:$M$4, MATCH(J557, Master_Target!$A$2:$A$4, 0), MATCH(TEXT(B557, "[$-421]mmmm"), Master_Target!$B$1:$M$1, 0))</f>
        <v>80000000</v>
      </c>
    </row>
    <row r="558" spans="1:13" x14ac:dyDescent="0.25">
      <c r="A558" s="7" t="s">
        <v>567</v>
      </c>
      <c r="B558" s="11" t="s">
        <v>1199</v>
      </c>
      <c r="C558" s="7">
        <f t="shared" si="32"/>
        <v>7</v>
      </c>
      <c r="D558" s="7" t="str">
        <f t="shared" si="33"/>
        <v>Jul</v>
      </c>
      <c r="E558" s="7" t="s">
        <v>1349</v>
      </c>
      <c r="F558" s="7" t="str">
        <f t="shared" si="34"/>
        <v>Dewi Lestari</v>
      </c>
      <c r="G558" s="7" t="s">
        <v>1358</v>
      </c>
      <c r="H558" s="7" t="s">
        <v>1364</v>
      </c>
      <c r="I558" s="7">
        <v>1</v>
      </c>
      <c r="J558" s="7" t="str">
        <f>INDEX(Master_Produk!$C$2:$C$11,MATCH(H558,Master_Produk!$A$2:$A$11,0))</f>
        <v>Furnitur</v>
      </c>
      <c r="K558" s="8">
        <f>INDEX(Master_Produk!$E$2:$E$11,MATCH(Data_Transaksi!H558,Master_Produk!$A$2:$A$11,0))</f>
        <v>950000</v>
      </c>
      <c r="L558" s="8">
        <f t="shared" si="35"/>
        <v>950000</v>
      </c>
      <c r="M558" s="8">
        <f>INDEX(Master_Target!$B$2:$M$4, MATCH(J558, Master_Target!$A$2:$A$4, 0), MATCH(TEXT(B558, "[$-421]mmmm"), Master_Target!$B$1:$M$1, 0))</f>
        <v>32000000</v>
      </c>
    </row>
    <row r="559" spans="1:13" x14ac:dyDescent="0.25">
      <c r="A559" s="7" t="s">
        <v>568</v>
      </c>
      <c r="B559" s="11" t="s">
        <v>1200</v>
      </c>
      <c r="C559" s="7">
        <f t="shared" si="32"/>
        <v>7</v>
      </c>
      <c r="D559" s="7" t="str">
        <f t="shared" si="33"/>
        <v>Jul</v>
      </c>
      <c r="E559" s="7" t="s">
        <v>1352</v>
      </c>
      <c r="F559" s="7" t="str">
        <f t="shared" si="34"/>
        <v>Ahmad Fauzi</v>
      </c>
      <c r="G559" s="7" t="s">
        <v>1359</v>
      </c>
      <c r="H559" s="7" t="s">
        <v>1362</v>
      </c>
      <c r="I559" s="7">
        <v>2</v>
      </c>
      <c r="J559" s="7" t="str">
        <f>INDEX(Master_Produk!$C$2:$C$11,MATCH(H559,Master_Produk!$A$2:$A$11,0))</f>
        <v>Pakaian</v>
      </c>
      <c r="K559" s="8">
        <f>INDEX(Master_Produk!$E$2:$E$11,MATCH(Data_Transaksi!H559,Master_Produk!$A$2:$A$11,0))</f>
        <v>350000</v>
      </c>
      <c r="L559" s="8">
        <f t="shared" si="35"/>
        <v>700000</v>
      </c>
      <c r="M559" s="8">
        <f>INDEX(Master_Target!$B$2:$M$4, MATCH(J559, Master_Target!$A$2:$A$4, 0), MATCH(TEXT(B559, "[$-421]mmmm"), Master_Target!$B$1:$M$1, 0))</f>
        <v>24000000</v>
      </c>
    </row>
    <row r="560" spans="1:13" x14ac:dyDescent="0.25">
      <c r="A560" s="7" t="s">
        <v>569</v>
      </c>
      <c r="B560" s="11" t="s">
        <v>1200</v>
      </c>
      <c r="C560" s="7">
        <f t="shared" si="32"/>
        <v>7</v>
      </c>
      <c r="D560" s="7" t="str">
        <f t="shared" si="33"/>
        <v>Jul</v>
      </c>
      <c r="E560" s="7" t="s">
        <v>1355</v>
      </c>
      <c r="F560" s="7" t="str">
        <f t="shared" si="34"/>
        <v>Bambang H.</v>
      </c>
      <c r="G560" s="7" t="s">
        <v>1359</v>
      </c>
      <c r="H560" s="7" t="s">
        <v>1364</v>
      </c>
      <c r="I560" s="7">
        <v>1</v>
      </c>
      <c r="J560" s="7" t="str">
        <f>INDEX(Master_Produk!$C$2:$C$11,MATCH(H560,Master_Produk!$A$2:$A$11,0))</f>
        <v>Furnitur</v>
      </c>
      <c r="K560" s="8">
        <f>INDEX(Master_Produk!$E$2:$E$11,MATCH(Data_Transaksi!H560,Master_Produk!$A$2:$A$11,0))</f>
        <v>950000</v>
      </c>
      <c r="L560" s="8">
        <f t="shared" si="35"/>
        <v>950000</v>
      </c>
      <c r="M560" s="8">
        <f>INDEX(Master_Target!$B$2:$M$4, MATCH(J560, Master_Target!$A$2:$A$4, 0), MATCH(TEXT(B560, "[$-421]mmmm"), Master_Target!$B$1:$M$1, 0))</f>
        <v>32000000</v>
      </c>
    </row>
    <row r="561" spans="1:13" x14ac:dyDescent="0.25">
      <c r="A561" s="7" t="s">
        <v>570</v>
      </c>
      <c r="B561" s="11" t="s">
        <v>1200</v>
      </c>
      <c r="C561" s="7">
        <f t="shared" si="32"/>
        <v>7</v>
      </c>
      <c r="D561" s="7" t="str">
        <f t="shared" si="33"/>
        <v>Jul</v>
      </c>
      <c r="E561" s="7" t="s">
        <v>1350</v>
      </c>
      <c r="F561" s="7" t="str">
        <f t="shared" si="34"/>
        <v>Andi Wijaya</v>
      </c>
      <c r="G561" s="7" t="s">
        <v>1358</v>
      </c>
      <c r="H561" s="7" t="s">
        <v>1365</v>
      </c>
      <c r="I561" s="7">
        <v>2</v>
      </c>
      <c r="J561" s="7" t="str">
        <f>INDEX(Master_Produk!$C$2:$C$11,MATCH(H561,Master_Produk!$A$2:$A$11,0))</f>
        <v>Elektronik</v>
      </c>
      <c r="K561" s="8">
        <f>INDEX(Master_Produk!$E$2:$E$11,MATCH(Data_Transaksi!H561,Master_Produk!$A$2:$A$11,0))</f>
        <v>1800000</v>
      </c>
      <c r="L561" s="8">
        <f t="shared" si="35"/>
        <v>3600000</v>
      </c>
      <c r="M561" s="8">
        <f>INDEX(Master_Target!$B$2:$M$4, MATCH(J561, Master_Target!$A$2:$A$4, 0), MATCH(TEXT(B561, "[$-421]mmmm"), Master_Target!$B$1:$M$1, 0))</f>
        <v>80000000</v>
      </c>
    </row>
    <row r="562" spans="1:13" x14ac:dyDescent="0.25">
      <c r="A562" s="7" t="s">
        <v>571</v>
      </c>
      <c r="B562" s="11" t="s">
        <v>1201</v>
      </c>
      <c r="C562" s="7">
        <f t="shared" si="32"/>
        <v>7</v>
      </c>
      <c r="D562" s="7" t="str">
        <f t="shared" si="33"/>
        <v>Jul</v>
      </c>
      <c r="E562" s="7" t="s">
        <v>1349</v>
      </c>
      <c r="F562" s="7" t="str">
        <f t="shared" si="34"/>
        <v>Dewi Lestari</v>
      </c>
      <c r="G562" s="7" t="s">
        <v>1358</v>
      </c>
      <c r="H562" s="7" t="s">
        <v>1364</v>
      </c>
      <c r="I562" s="7">
        <v>1</v>
      </c>
      <c r="J562" s="7" t="str">
        <f>INDEX(Master_Produk!$C$2:$C$11,MATCH(H562,Master_Produk!$A$2:$A$11,0))</f>
        <v>Furnitur</v>
      </c>
      <c r="K562" s="8">
        <f>INDEX(Master_Produk!$E$2:$E$11,MATCH(Data_Transaksi!H562,Master_Produk!$A$2:$A$11,0))</f>
        <v>950000</v>
      </c>
      <c r="L562" s="8">
        <f t="shared" si="35"/>
        <v>950000</v>
      </c>
      <c r="M562" s="8">
        <f>INDEX(Master_Target!$B$2:$M$4, MATCH(J562, Master_Target!$A$2:$A$4, 0), MATCH(TEXT(B562, "[$-421]mmmm"), Master_Target!$B$1:$M$1, 0))</f>
        <v>32000000</v>
      </c>
    </row>
    <row r="563" spans="1:13" x14ac:dyDescent="0.25">
      <c r="A563" s="7" t="s">
        <v>572</v>
      </c>
      <c r="B563" s="11" t="s">
        <v>1202</v>
      </c>
      <c r="C563" s="7">
        <f t="shared" si="32"/>
        <v>7</v>
      </c>
      <c r="D563" s="7" t="str">
        <f t="shared" si="33"/>
        <v>Jul</v>
      </c>
      <c r="E563" s="7" t="s">
        <v>1355</v>
      </c>
      <c r="F563" s="7" t="str">
        <f t="shared" si="34"/>
        <v>Bambang H.</v>
      </c>
      <c r="G563" s="7" t="s">
        <v>1361</v>
      </c>
      <c r="H563" s="7" t="s">
        <v>1368</v>
      </c>
      <c r="I563" s="7">
        <v>3</v>
      </c>
      <c r="J563" s="7" t="str">
        <f>INDEX(Master_Produk!$C$2:$C$11,MATCH(H563,Master_Produk!$A$2:$A$11,0))</f>
        <v>Furnitur</v>
      </c>
      <c r="K563" s="8">
        <f>INDEX(Master_Produk!$E$2:$E$11,MATCH(Data_Transaksi!H563,Master_Produk!$A$2:$A$11,0))</f>
        <v>650000</v>
      </c>
      <c r="L563" s="8">
        <f t="shared" si="35"/>
        <v>1950000</v>
      </c>
      <c r="M563" s="8">
        <f>INDEX(Master_Target!$B$2:$M$4, MATCH(J563, Master_Target!$A$2:$A$4, 0), MATCH(TEXT(B563, "[$-421]mmmm"), Master_Target!$B$1:$M$1, 0))</f>
        <v>32000000</v>
      </c>
    </row>
    <row r="564" spans="1:13" x14ac:dyDescent="0.25">
      <c r="A564" s="7" t="s">
        <v>573</v>
      </c>
      <c r="B564" s="11" t="s">
        <v>1202</v>
      </c>
      <c r="C564" s="7">
        <f t="shared" si="32"/>
        <v>7</v>
      </c>
      <c r="D564" s="7" t="str">
        <f t="shared" si="33"/>
        <v>Jul</v>
      </c>
      <c r="E564" s="7" t="s">
        <v>1347</v>
      </c>
      <c r="F564" s="7" t="str">
        <f t="shared" si="34"/>
        <v>Rina Marlina</v>
      </c>
      <c r="G564" s="7" t="s">
        <v>1359</v>
      </c>
      <c r="H564" s="7" t="s">
        <v>1371</v>
      </c>
      <c r="I564" s="7">
        <v>1</v>
      </c>
      <c r="J564" s="7" t="str">
        <f>INDEX(Master_Produk!$C$2:$C$11,MATCH(H564,Master_Produk!$A$2:$A$11,0))</f>
        <v>Pakaian</v>
      </c>
      <c r="K564" s="8">
        <f>INDEX(Master_Produk!$E$2:$E$11,MATCH(Data_Transaksi!H564,Master_Produk!$A$2:$A$11,0))</f>
        <v>280000</v>
      </c>
      <c r="L564" s="8">
        <f t="shared" si="35"/>
        <v>280000</v>
      </c>
      <c r="M564" s="8">
        <f>INDEX(Master_Target!$B$2:$M$4, MATCH(J564, Master_Target!$A$2:$A$4, 0), MATCH(TEXT(B564, "[$-421]mmmm"), Master_Target!$B$1:$M$1, 0))</f>
        <v>24000000</v>
      </c>
    </row>
    <row r="565" spans="1:13" x14ac:dyDescent="0.25">
      <c r="A565" s="7" t="s">
        <v>574</v>
      </c>
      <c r="B565" s="11" t="s">
        <v>1203</v>
      </c>
      <c r="C565" s="7">
        <f t="shared" si="32"/>
        <v>7</v>
      </c>
      <c r="D565" s="7" t="str">
        <f t="shared" si="33"/>
        <v>Jul</v>
      </c>
      <c r="E565" s="7" t="s">
        <v>1349</v>
      </c>
      <c r="F565" s="7" t="str">
        <f t="shared" si="34"/>
        <v>Dewi Lestari</v>
      </c>
      <c r="G565" s="7" t="s">
        <v>1358</v>
      </c>
      <c r="H565" s="7" t="s">
        <v>1363</v>
      </c>
      <c r="I565" s="7">
        <v>2</v>
      </c>
      <c r="J565" s="7" t="str">
        <f>INDEX(Master_Produk!$C$2:$C$11,MATCH(H565,Master_Produk!$A$2:$A$11,0))</f>
        <v>Pakaian</v>
      </c>
      <c r="K565" s="8">
        <f>INDEX(Master_Produk!$E$2:$E$11,MATCH(Data_Transaksi!H565,Master_Produk!$A$2:$A$11,0))</f>
        <v>250000</v>
      </c>
      <c r="L565" s="8">
        <f t="shared" si="35"/>
        <v>500000</v>
      </c>
      <c r="M565" s="8">
        <f>INDEX(Master_Target!$B$2:$M$4, MATCH(J565, Master_Target!$A$2:$A$4, 0), MATCH(TEXT(B565, "[$-421]mmmm"), Master_Target!$B$1:$M$1, 0))</f>
        <v>24000000</v>
      </c>
    </row>
    <row r="566" spans="1:13" x14ac:dyDescent="0.25">
      <c r="A566" s="7" t="s">
        <v>575</v>
      </c>
      <c r="B566" s="11" t="s">
        <v>1203</v>
      </c>
      <c r="C566" s="7">
        <f t="shared" si="32"/>
        <v>7</v>
      </c>
      <c r="D566" s="7" t="str">
        <f t="shared" si="33"/>
        <v>Jul</v>
      </c>
      <c r="E566" s="7" t="s">
        <v>1350</v>
      </c>
      <c r="F566" s="7" t="str">
        <f t="shared" si="34"/>
        <v>Andi Wijaya</v>
      </c>
      <c r="G566" s="7" t="s">
        <v>1360</v>
      </c>
      <c r="H566" s="7" t="s">
        <v>1365</v>
      </c>
      <c r="I566" s="7">
        <v>1</v>
      </c>
      <c r="J566" s="7" t="str">
        <f>INDEX(Master_Produk!$C$2:$C$11,MATCH(H566,Master_Produk!$A$2:$A$11,0))</f>
        <v>Elektronik</v>
      </c>
      <c r="K566" s="8">
        <f>INDEX(Master_Produk!$E$2:$E$11,MATCH(Data_Transaksi!H566,Master_Produk!$A$2:$A$11,0))</f>
        <v>1800000</v>
      </c>
      <c r="L566" s="8">
        <f t="shared" si="35"/>
        <v>1800000</v>
      </c>
      <c r="M566" s="8">
        <f>INDEX(Master_Target!$B$2:$M$4, MATCH(J566, Master_Target!$A$2:$A$4, 0), MATCH(TEXT(B566, "[$-421]mmmm"), Master_Target!$B$1:$M$1, 0))</f>
        <v>80000000</v>
      </c>
    </row>
    <row r="567" spans="1:13" x14ac:dyDescent="0.25">
      <c r="A567" s="7" t="s">
        <v>576</v>
      </c>
      <c r="B567" s="11" t="s">
        <v>1204</v>
      </c>
      <c r="C567" s="7">
        <f t="shared" si="32"/>
        <v>7</v>
      </c>
      <c r="D567" s="7" t="str">
        <f t="shared" si="33"/>
        <v>Jul</v>
      </c>
      <c r="E567" s="7" t="s">
        <v>1349</v>
      </c>
      <c r="F567" s="7" t="str">
        <f t="shared" si="34"/>
        <v>Dewi Lestari</v>
      </c>
      <c r="G567" s="7" t="s">
        <v>1357</v>
      </c>
      <c r="H567" s="7" t="s">
        <v>1367</v>
      </c>
      <c r="I567" s="7">
        <v>1</v>
      </c>
      <c r="J567" s="7" t="str">
        <f>INDEX(Master_Produk!$C$2:$C$11,MATCH(H567,Master_Produk!$A$2:$A$11,0))</f>
        <v>Elektronik</v>
      </c>
      <c r="K567" s="8">
        <f>INDEX(Master_Produk!$E$2:$E$11,MATCH(Data_Transaksi!H567,Master_Produk!$A$2:$A$11,0))</f>
        <v>250000</v>
      </c>
      <c r="L567" s="8">
        <f t="shared" si="35"/>
        <v>250000</v>
      </c>
      <c r="M567" s="8">
        <f>INDEX(Master_Target!$B$2:$M$4, MATCH(J567, Master_Target!$A$2:$A$4, 0), MATCH(TEXT(B567, "[$-421]mmmm"), Master_Target!$B$1:$M$1, 0))</f>
        <v>80000000</v>
      </c>
    </row>
    <row r="568" spans="1:13" x14ac:dyDescent="0.25">
      <c r="A568" s="7" t="s">
        <v>577</v>
      </c>
      <c r="B568" s="11" t="s">
        <v>1204</v>
      </c>
      <c r="C568" s="7">
        <f t="shared" si="32"/>
        <v>7</v>
      </c>
      <c r="D568" s="7" t="str">
        <f t="shared" si="33"/>
        <v>Jul</v>
      </c>
      <c r="E568" s="7" t="s">
        <v>1356</v>
      </c>
      <c r="F568" s="7" t="str">
        <f t="shared" si="34"/>
        <v>Eko Prasetyo</v>
      </c>
      <c r="G568" s="7" t="s">
        <v>1358</v>
      </c>
      <c r="H568" s="7" t="s">
        <v>1368</v>
      </c>
      <c r="I568" s="7">
        <v>1</v>
      </c>
      <c r="J568" s="7" t="str">
        <f>INDEX(Master_Produk!$C$2:$C$11,MATCH(H568,Master_Produk!$A$2:$A$11,0))</f>
        <v>Furnitur</v>
      </c>
      <c r="K568" s="8">
        <f>INDEX(Master_Produk!$E$2:$E$11,MATCH(Data_Transaksi!H568,Master_Produk!$A$2:$A$11,0))</f>
        <v>650000</v>
      </c>
      <c r="L568" s="8">
        <f t="shared" si="35"/>
        <v>650000</v>
      </c>
      <c r="M568" s="8">
        <f>INDEX(Master_Target!$B$2:$M$4, MATCH(J568, Master_Target!$A$2:$A$4, 0), MATCH(TEXT(B568, "[$-421]mmmm"), Master_Target!$B$1:$M$1, 0))</f>
        <v>32000000</v>
      </c>
    </row>
    <row r="569" spans="1:13" x14ac:dyDescent="0.25">
      <c r="A569" s="7" t="s">
        <v>578</v>
      </c>
      <c r="B569" s="11" t="s">
        <v>1204</v>
      </c>
      <c r="C569" s="7">
        <f t="shared" si="32"/>
        <v>7</v>
      </c>
      <c r="D569" s="7" t="str">
        <f t="shared" si="33"/>
        <v>Jul</v>
      </c>
      <c r="E569" s="7" t="s">
        <v>1356</v>
      </c>
      <c r="F569" s="7" t="str">
        <f t="shared" si="34"/>
        <v>Eko Prasetyo</v>
      </c>
      <c r="G569" s="7" t="s">
        <v>1359</v>
      </c>
      <c r="H569" s="7" t="s">
        <v>1371</v>
      </c>
      <c r="I569" s="7">
        <v>2</v>
      </c>
      <c r="J569" s="7" t="str">
        <f>INDEX(Master_Produk!$C$2:$C$11,MATCH(H569,Master_Produk!$A$2:$A$11,0))</f>
        <v>Pakaian</v>
      </c>
      <c r="K569" s="8">
        <f>INDEX(Master_Produk!$E$2:$E$11,MATCH(Data_Transaksi!H569,Master_Produk!$A$2:$A$11,0))</f>
        <v>280000</v>
      </c>
      <c r="L569" s="8">
        <f t="shared" si="35"/>
        <v>560000</v>
      </c>
      <c r="M569" s="8">
        <f>INDEX(Master_Target!$B$2:$M$4, MATCH(J569, Master_Target!$A$2:$A$4, 0), MATCH(TEXT(B569, "[$-421]mmmm"), Master_Target!$B$1:$M$1, 0))</f>
        <v>24000000</v>
      </c>
    </row>
    <row r="570" spans="1:13" x14ac:dyDescent="0.25">
      <c r="A570" s="7" t="s">
        <v>579</v>
      </c>
      <c r="B570" s="11" t="s">
        <v>1205</v>
      </c>
      <c r="C570" s="7">
        <f t="shared" si="32"/>
        <v>7</v>
      </c>
      <c r="D570" s="7" t="str">
        <f t="shared" si="33"/>
        <v>Jul</v>
      </c>
      <c r="E570" s="7" t="s">
        <v>1352</v>
      </c>
      <c r="F570" s="7" t="str">
        <f t="shared" si="34"/>
        <v>Ahmad Fauzi</v>
      </c>
      <c r="G570" s="7" t="s">
        <v>1358</v>
      </c>
      <c r="H570" s="7" t="s">
        <v>1363</v>
      </c>
      <c r="I570" s="7">
        <v>2</v>
      </c>
      <c r="J570" s="7" t="str">
        <f>INDEX(Master_Produk!$C$2:$C$11,MATCH(H570,Master_Produk!$A$2:$A$11,0))</f>
        <v>Pakaian</v>
      </c>
      <c r="K570" s="8">
        <f>INDEX(Master_Produk!$E$2:$E$11,MATCH(Data_Transaksi!H570,Master_Produk!$A$2:$A$11,0))</f>
        <v>250000</v>
      </c>
      <c r="L570" s="8">
        <f t="shared" si="35"/>
        <v>500000</v>
      </c>
      <c r="M570" s="8">
        <f>INDEX(Master_Target!$B$2:$M$4, MATCH(J570, Master_Target!$A$2:$A$4, 0), MATCH(TEXT(B570, "[$-421]mmmm"), Master_Target!$B$1:$M$1, 0))</f>
        <v>24000000</v>
      </c>
    </row>
    <row r="571" spans="1:13" x14ac:dyDescent="0.25">
      <c r="A571" s="7" t="s">
        <v>580</v>
      </c>
      <c r="B571" s="11" t="s">
        <v>1205</v>
      </c>
      <c r="C571" s="7">
        <f t="shared" si="32"/>
        <v>7</v>
      </c>
      <c r="D571" s="7" t="str">
        <f t="shared" si="33"/>
        <v>Jul</v>
      </c>
      <c r="E571" s="7" t="s">
        <v>1347</v>
      </c>
      <c r="F571" s="7" t="str">
        <f t="shared" si="34"/>
        <v>Rina Marlina</v>
      </c>
      <c r="G571" s="7" t="s">
        <v>1360</v>
      </c>
      <c r="H571" s="7" t="s">
        <v>1363</v>
      </c>
      <c r="I571" s="7">
        <v>1</v>
      </c>
      <c r="J571" s="7" t="str">
        <f>INDEX(Master_Produk!$C$2:$C$11,MATCH(H571,Master_Produk!$A$2:$A$11,0))</f>
        <v>Pakaian</v>
      </c>
      <c r="K571" s="8">
        <f>INDEX(Master_Produk!$E$2:$E$11,MATCH(Data_Transaksi!H571,Master_Produk!$A$2:$A$11,0))</f>
        <v>250000</v>
      </c>
      <c r="L571" s="8">
        <f t="shared" si="35"/>
        <v>250000</v>
      </c>
      <c r="M571" s="8">
        <f>INDEX(Master_Target!$B$2:$M$4, MATCH(J571, Master_Target!$A$2:$A$4, 0), MATCH(TEXT(B571, "[$-421]mmmm"), Master_Target!$B$1:$M$1, 0))</f>
        <v>24000000</v>
      </c>
    </row>
    <row r="572" spans="1:13" x14ac:dyDescent="0.25">
      <c r="A572" s="7" t="s">
        <v>581</v>
      </c>
      <c r="B572" s="11" t="s">
        <v>1205</v>
      </c>
      <c r="C572" s="7">
        <f t="shared" si="32"/>
        <v>7</v>
      </c>
      <c r="D572" s="7" t="str">
        <f t="shared" si="33"/>
        <v>Jul</v>
      </c>
      <c r="E572" s="7" t="s">
        <v>1351</v>
      </c>
      <c r="F572" s="7" t="str">
        <f t="shared" si="34"/>
        <v>Siti Rahma</v>
      </c>
      <c r="G572" s="7" t="s">
        <v>1361</v>
      </c>
      <c r="H572" s="7" t="s">
        <v>1371</v>
      </c>
      <c r="I572" s="7">
        <v>2</v>
      </c>
      <c r="J572" s="7" t="str">
        <f>INDEX(Master_Produk!$C$2:$C$11,MATCH(H572,Master_Produk!$A$2:$A$11,0))</f>
        <v>Pakaian</v>
      </c>
      <c r="K572" s="8">
        <f>INDEX(Master_Produk!$E$2:$E$11,MATCH(Data_Transaksi!H572,Master_Produk!$A$2:$A$11,0))</f>
        <v>280000</v>
      </c>
      <c r="L572" s="8">
        <f t="shared" si="35"/>
        <v>560000</v>
      </c>
      <c r="M572" s="8">
        <f>INDEX(Master_Target!$B$2:$M$4, MATCH(J572, Master_Target!$A$2:$A$4, 0), MATCH(TEXT(B572, "[$-421]mmmm"), Master_Target!$B$1:$M$1, 0))</f>
        <v>24000000</v>
      </c>
    </row>
    <row r="573" spans="1:13" x14ac:dyDescent="0.25">
      <c r="A573" s="7" t="s">
        <v>582</v>
      </c>
      <c r="B573" s="11" t="s">
        <v>1206</v>
      </c>
      <c r="C573" s="7">
        <f t="shared" si="32"/>
        <v>7</v>
      </c>
      <c r="D573" s="7" t="str">
        <f t="shared" si="33"/>
        <v>Jul</v>
      </c>
      <c r="E573" s="7" t="s">
        <v>1351</v>
      </c>
      <c r="F573" s="7" t="str">
        <f t="shared" si="34"/>
        <v>Siti Rahma</v>
      </c>
      <c r="G573" s="7" t="s">
        <v>1359</v>
      </c>
      <c r="H573" s="7" t="s">
        <v>1368</v>
      </c>
      <c r="I573" s="7">
        <v>4</v>
      </c>
      <c r="J573" s="7" t="str">
        <f>INDEX(Master_Produk!$C$2:$C$11,MATCH(H573,Master_Produk!$A$2:$A$11,0))</f>
        <v>Furnitur</v>
      </c>
      <c r="K573" s="8">
        <f>INDEX(Master_Produk!$E$2:$E$11,MATCH(Data_Transaksi!H573,Master_Produk!$A$2:$A$11,0))</f>
        <v>650000</v>
      </c>
      <c r="L573" s="8">
        <f t="shared" si="35"/>
        <v>2600000</v>
      </c>
      <c r="M573" s="8">
        <f>INDEX(Master_Target!$B$2:$M$4, MATCH(J573, Master_Target!$A$2:$A$4, 0), MATCH(TEXT(B573, "[$-421]mmmm"), Master_Target!$B$1:$M$1, 0))</f>
        <v>32000000</v>
      </c>
    </row>
    <row r="574" spans="1:13" x14ac:dyDescent="0.25">
      <c r="A574" s="7" t="s">
        <v>583</v>
      </c>
      <c r="B574" s="11" t="s">
        <v>1206</v>
      </c>
      <c r="C574" s="7">
        <f t="shared" si="32"/>
        <v>7</v>
      </c>
      <c r="D574" s="7" t="str">
        <f t="shared" si="33"/>
        <v>Jul</v>
      </c>
      <c r="E574" s="7" t="s">
        <v>1350</v>
      </c>
      <c r="F574" s="7" t="str">
        <f t="shared" si="34"/>
        <v>Andi Wijaya</v>
      </c>
      <c r="G574" s="7" t="s">
        <v>1361</v>
      </c>
      <c r="H574" s="7" t="s">
        <v>1367</v>
      </c>
      <c r="I574" s="7">
        <v>3</v>
      </c>
      <c r="J574" s="7" t="str">
        <f>INDEX(Master_Produk!$C$2:$C$11,MATCH(H574,Master_Produk!$A$2:$A$11,0))</f>
        <v>Elektronik</v>
      </c>
      <c r="K574" s="8">
        <f>INDEX(Master_Produk!$E$2:$E$11,MATCH(Data_Transaksi!H574,Master_Produk!$A$2:$A$11,0))</f>
        <v>250000</v>
      </c>
      <c r="L574" s="8">
        <f t="shared" si="35"/>
        <v>750000</v>
      </c>
      <c r="M574" s="8">
        <f>INDEX(Master_Target!$B$2:$M$4, MATCH(J574, Master_Target!$A$2:$A$4, 0), MATCH(TEXT(B574, "[$-421]mmmm"), Master_Target!$B$1:$M$1, 0))</f>
        <v>80000000</v>
      </c>
    </row>
    <row r="575" spans="1:13" x14ac:dyDescent="0.25">
      <c r="A575" s="7" t="s">
        <v>584</v>
      </c>
      <c r="B575" s="11" t="s">
        <v>1206</v>
      </c>
      <c r="C575" s="7">
        <f t="shared" si="32"/>
        <v>7</v>
      </c>
      <c r="D575" s="7" t="str">
        <f t="shared" si="33"/>
        <v>Jul</v>
      </c>
      <c r="E575" s="7" t="s">
        <v>1354</v>
      </c>
      <c r="F575" s="7" t="str">
        <f t="shared" si="34"/>
        <v>Mega Utami</v>
      </c>
      <c r="G575" s="7" t="s">
        <v>1357</v>
      </c>
      <c r="H575" s="7" t="s">
        <v>1367</v>
      </c>
      <c r="I575" s="7">
        <v>1</v>
      </c>
      <c r="J575" s="7" t="str">
        <f>INDEX(Master_Produk!$C$2:$C$11,MATCH(H575,Master_Produk!$A$2:$A$11,0))</f>
        <v>Elektronik</v>
      </c>
      <c r="K575" s="8">
        <f>INDEX(Master_Produk!$E$2:$E$11,MATCH(Data_Transaksi!H575,Master_Produk!$A$2:$A$11,0))</f>
        <v>250000</v>
      </c>
      <c r="L575" s="8">
        <f t="shared" si="35"/>
        <v>250000</v>
      </c>
      <c r="M575" s="8">
        <f>INDEX(Master_Target!$B$2:$M$4, MATCH(J575, Master_Target!$A$2:$A$4, 0), MATCH(TEXT(B575, "[$-421]mmmm"), Master_Target!$B$1:$M$1, 0))</f>
        <v>80000000</v>
      </c>
    </row>
    <row r="576" spans="1:13" x14ac:dyDescent="0.25">
      <c r="A576" s="7" t="s">
        <v>585</v>
      </c>
      <c r="B576" s="11" t="s">
        <v>1207</v>
      </c>
      <c r="C576" s="7">
        <f t="shared" si="32"/>
        <v>8</v>
      </c>
      <c r="D576" s="7" t="str">
        <f t="shared" si="33"/>
        <v>Aug</v>
      </c>
      <c r="E576" s="7" t="s">
        <v>1351</v>
      </c>
      <c r="F576" s="7" t="str">
        <f t="shared" si="34"/>
        <v>Siti Rahma</v>
      </c>
      <c r="G576" s="7" t="s">
        <v>1361</v>
      </c>
      <c r="H576" s="7" t="s">
        <v>1369</v>
      </c>
      <c r="I576" s="7">
        <v>2</v>
      </c>
      <c r="J576" s="7" t="str">
        <f>INDEX(Master_Produk!$C$2:$C$11,MATCH(H576,Master_Produk!$A$2:$A$11,0))</f>
        <v>Elektronik</v>
      </c>
      <c r="K576" s="8">
        <f>INDEX(Master_Produk!$E$2:$E$11,MATCH(Data_Transaksi!H576,Master_Produk!$A$2:$A$11,0))</f>
        <v>4500000</v>
      </c>
      <c r="L576" s="8">
        <f t="shared" si="35"/>
        <v>9000000</v>
      </c>
      <c r="M576" s="8">
        <f>INDEX(Master_Target!$B$2:$M$4, MATCH(J576, Master_Target!$A$2:$A$4, 0), MATCH(TEXT(B576, "[$-421]mmmm"), Master_Target!$B$1:$M$1, 0))</f>
        <v>85000000</v>
      </c>
    </row>
    <row r="577" spans="1:13" x14ac:dyDescent="0.25">
      <c r="A577" s="7" t="s">
        <v>586</v>
      </c>
      <c r="B577" s="11" t="s">
        <v>1207</v>
      </c>
      <c r="C577" s="7">
        <f t="shared" si="32"/>
        <v>8</v>
      </c>
      <c r="D577" s="7" t="str">
        <f t="shared" si="33"/>
        <v>Aug</v>
      </c>
      <c r="E577" s="7" t="s">
        <v>1350</v>
      </c>
      <c r="F577" s="7" t="str">
        <f t="shared" si="34"/>
        <v>Andi Wijaya</v>
      </c>
      <c r="G577" s="7" t="s">
        <v>1358</v>
      </c>
      <c r="H577" s="7" t="s">
        <v>1367</v>
      </c>
      <c r="I577" s="7">
        <v>1</v>
      </c>
      <c r="J577" s="7" t="str">
        <f>INDEX(Master_Produk!$C$2:$C$11,MATCH(H577,Master_Produk!$A$2:$A$11,0))</f>
        <v>Elektronik</v>
      </c>
      <c r="K577" s="8">
        <f>INDEX(Master_Produk!$E$2:$E$11,MATCH(Data_Transaksi!H577,Master_Produk!$A$2:$A$11,0))</f>
        <v>250000</v>
      </c>
      <c r="L577" s="8">
        <f t="shared" si="35"/>
        <v>250000</v>
      </c>
      <c r="M577" s="8">
        <f>INDEX(Master_Target!$B$2:$M$4, MATCH(J577, Master_Target!$A$2:$A$4, 0), MATCH(TEXT(B577, "[$-421]mmmm"), Master_Target!$B$1:$M$1, 0))</f>
        <v>85000000</v>
      </c>
    </row>
    <row r="578" spans="1:13" x14ac:dyDescent="0.25">
      <c r="A578" s="7" t="s">
        <v>587</v>
      </c>
      <c r="B578" s="11" t="s">
        <v>1208</v>
      </c>
      <c r="C578" s="7">
        <f t="shared" si="32"/>
        <v>8</v>
      </c>
      <c r="D578" s="7" t="str">
        <f t="shared" si="33"/>
        <v>Aug</v>
      </c>
      <c r="E578" s="7" t="s">
        <v>1347</v>
      </c>
      <c r="F578" s="7" t="str">
        <f t="shared" si="34"/>
        <v>Rina Marlina</v>
      </c>
      <c r="G578" s="7" t="s">
        <v>1360</v>
      </c>
      <c r="H578" s="7" t="s">
        <v>1371</v>
      </c>
      <c r="I578" s="7">
        <v>1</v>
      </c>
      <c r="J578" s="7" t="str">
        <f>INDEX(Master_Produk!$C$2:$C$11,MATCH(H578,Master_Produk!$A$2:$A$11,0))</f>
        <v>Pakaian</v>
      </c>
      <c r="K578" s="8">
        <f>INDEX(Master_Produk!$E$2:$E$11,MATCH(Data_Transaksi!H578,Master_Produk!$A$2:$A$11,0))</f>
        <v>280000</v>
      </c>
      <c r="L578" s="8">
        <f t="shared" si="35"/>
        <v>280000</v>
      </c>
      <c r="M578" s="8">
        <f>INDEX(Master_Target!$B$2:$M$4, MATCH(J578, Master_Target!$A$2:$A$4, 0), MATCH(TEXT(B578, "[$-421]mmmm"), Master_Target!$B$1:$M$1, 0))</f>
        <v>25500000</v>
      </c>
    </row>
    <row r="579" spans="1:13" x14ac:dyDescent="0.25">
      <c r="A579" s="7" t="s">
        <v>588</v>
      </c>
      <c r="B579" s="11" t="s">
        <v>1208</v>
      </c>
      <c r="C579" s="7">
        <f t="shared" ref="C579:C642" si="36">MONTH(B579)</f>
        <v>8</v>
      </c>
      <c r="D579" s="7" t="str">
        <f t="shared" ref="D579:D642" si="37">TEXT(B579,"mmm")</f>
        <v>Aug</v>
      </c>
      <c r="E579" s="7" t="s">
        <v>1354</v>
      </c>
      <c r="F579" s="7" t="str">
        <f t="shared" ref="F579:F642" si="38">TRIM(PROPER(E579))</f>
        <v>Mega Utami</v>
      </c>
      <c r="G579" s="7" t="s">
        <v>1361</v>
      </c>
      <c r="H579" s="7" t="s">
        <v>1364</v>
      </c>
      <c r="I579" s="7">
        <v>10</v>
      </c>
      <c r="J579" s="7" t="str">
        <f>INDEX(Master_Produk!$C$2:$C$11,MATCH(H579,Master_Produk!$A$2:$A$11,0))</f>
        <v>Furnitur</v>
      </c>
      <c r="K579" s="8">
        <f>INDEX(Master_Produk!$E$2:$E$11,MATCH(Data_Transaksi!H579,Master_Produk!$A$2:$A$11,0))</f>
        <v>950000</v>
      </c>
      <c r="L579" s="8">
        <f t="shared" ref="L579:L642" si="39">I579*K579</f>
        <v>9500000</v>
      </c>
      <c r="M579" s="8">
        <f>INDEX(Master_Target!$B$2:$M$4, MATCH(J579, Master_Target!$A$2:$A$4, 0), MATCH(TEXT(B579, "[$-421]mmmm"), Master_Target!$B$1:$M$1, 0))</f>
        <v>34000000</v>
      </c>
    </row>
    <row r="580" spans="1:13" x14ac:dyDescent="0.25">
      <c r="A580" s="7" t="s">
        <v>589</v>
      </c>
      <c r="B580" s="11" t="s">
        <v>1208</v>
      </c>
      <c r="C580" s="7">
        <f t="shared" si="36"/>
        <v>8</v>
      </c>
      <c r="D580" s="7" t="str">
        <f t="shared" si="37"/>
        <v>Aug</v>
      </c>
      <c r="E580" s="7" t="s">
        <v>1354</v>
      </c>
      <c r="F580" s="7" t="str">
        <f t="shared" si="38"/>
        <v>Mega Utami</v>
      </c>
      <c r="G580" s="7" t="s">
        <v>1360</v>
      </c>
      <c r="H580" s="7" t="s">
        <v>1371</v>
      </c>
      <c r="I580" s="7">
        <v>1</v>
      </c>
      <c r="J580" s="7" t="str">
        <f>INDEX(Master_Produk!$C$2:$C$11,MATCH(H580,Master_Produk!$A$2:$A$11,0))</f>
        <v>Pakaian</v>
      </c>
      <c r="K580" s="8">
        <f>INDEX(Master_Produk!$E$2:$E$11,MATCH(Data_Transaksi!H580,Master_Produk!$A$2:$A$11,0))</f>
        <v>280000</v>
      </c>
      <c r="L580" s="8">
        <f t="shared" si="39"/>
        <v>280000</v>
      </c>
      <c r="M580" s="8">
        <f>INDEX(Master_Target!$B$2:$M$4, MATCH(J580, Master_Target!$A$2:$A$4, 0), MATCH(TEXT(B580, "[$-421]mmmm"), Master_Target!$B$1:$M$1, 0))</f>
        <v>25500000</v>
      </c>
    </row>
    <row r="581" spans="1:13" x14ac:dyDescent="0.25">
      <c r="A581" s="7" t="s">
        <v>590</v>
      </c>
      <c r="B581" s="11" t="s">
        <v>1209</v>
      </c>
      <c r="C581" s="7">
        <f t="shared" si="36"/>
        <v>8</v>
      </c>
      <c r="D581" s="7" t="str">
        <f t="shared" si="37"/>
        <v>Aug</v>
      </c>
      <c r="E581" s="7" t="s">
        <v>1356</v>
      </c>
      <c r="F581" s="7" t="str">
        <f t="shared" si="38"/>
        <v>Eko Prasetyo</v>
      </c>
      <c r="G581" s="7" t="s">
        <v>1359</v>
      </c>
      <c r="H581" s="7" t="s">
        <v>1371</v>
      </c>
      <c r="I581" s="7">
        <v>2</v>
      </c>
      <c r="J581" s="7" t="str">
        <f>INDEX(Master_Produk!$C$2:$C$11,MATCH(H581,Master_Produk!$A$2:$A$11,0))</f>
        <v>Pakaian</v>
      </c>
      <c r="K581" s="8">
        <f>INDEX(Master_Produk!$E$2:$E$11,MATCH(Data_Transaksi!H581,Master_Produk!$A$2:$A$11,0))</f>
        <v>280000</v>
      </c>
      <c r="L581" s="8">
        <f t="shared" si="39"/>
        <v>560000</v>
      </c>
      <c r="M581" s="8">
        <f>INDEX(Master_Target!$B$2:$M$4, MATCH(J581, Master_Target!$A$2:$A$4, 0), MATCH(TEXT(B581, "[$-421]mmmm"), Master_Target!$B$1:$M$1, 0))</f>
        <v>25500000</v>
      </c>
    </row>
    <row r="582" spans="1:13" x14ac:dyDescent="0.25">
      <c r="A582" s="7" t="s">
        <v>591</v>
      </c>
      <c r="B582" s="11" t="s">
        <v>1209</v>
      </c>
      <c r="C582" s="7">
        <f t="shared" si="36"/>
        <v>8</v>
      </c>
      <c r="D582" s="7" t="str">
        <f t="shared" si="37"/>
        <v>Aug</v>
      </c>
      <c r="E582" s="7" t="s">
        <v>1352</v>
      </c>
      <c r="F582" s="7" t="str">
        <f t="shared" si="38"/>
        <v>Ahmad Fauzi</v>
      </c>
      <c r="G582" s="7" t="s">
        <v>1359</v>
      </c>
      <c r="H582" s="7" t="s">
        <v>1365</v>
      </c>
      <c r="I582" s="7">
        <v>2</v>
      </c>
      <c r="J582" s="7" t="str">
        <f>INDEX(Master_Produk!$C$2:$C$11,MATCH(H582,Master_Produk!$A$2:$A$11,0))</f>
        <v>Elektronik</v>
      </c>
      <c r="K582" s="8">
        <f>INDEX(Master_Produk!$E$2:$E$11,MATCH(Data_Transaksi!H582,Master_Produk!$A$2:$A$11,0))</f>
        <v>1800000</v>
      </c>
      <c r="L582" s="8">
        <f t="shared" si="39"/>
        <v>3600000</v>
      </c>
      <c r="M582" s="8">
        <f>INDEX(Master_Target!$B$2:$M$4, MATCH(J582, Master_Target!$A$2:$A$4, 0), MATCH(TEXT(B582, "[$-421]mmmm"), Master_Target!$B$1:$M$1, 0))</f>
        <v>85000000</v>
      </c>
    </row>
    <row r="583" spans="1:13" x14ac:dyDescent="0.25">
      <c r="A583" s="7" t="s">
        <v>592</v>
      </c>
      <c r="B583" s="11" t="s">
        <v>1209</v>
      </c>
      <c r="C583" s="7">
        <f t="shared" si="36"/>
        <v>8</v>
      </c>
      <c r="D583" s="7" t="str">
        <f t="shared" si="37"/>
        <v>Aug</v>
      </c>
      <c r="E583" s="7" t="s">
        <v>1355</v>
      </c>
      <c r="F583" s="7" t="str">
        <f t="shared" si="38"/>
        <v>Bambang H.</v>
      </c>
      <c r="G583" s="7" t="s">
        <v>1358</v>
      </c>
      <c r="H583" s="7" t="s">
        <v>1366</v>
      </c>
      <c r="I583" s="7">
        <v>3</v>
      </c>
      <c r="J583" s="7" t="str">
        <f>INDEX(Master_Produk!$C$2:$C$11,MATCH(H583,Master_Produk!$A$2:$A$11,0))</f>
        <v>Elektronik</v>
      </c>
      <c r="K583" s="8">
        <f>INDEX(Master_Produk!$E$2:$E$11,MATCH(Data_Transaksi!H583,Master_Produk!$A$2:$A$11,0))</f>
        <v>7500000</v>
      </c>
      <c r="L583" s="8">
        <f t="shared" si="39"/>
        <v>22500000</v>
      </c>
      <c r="M583" s="8">
        <f>INDEX(Master_Target!$B$2:$M$4, MATCH(J583, Master_Target!$A$2:$A$4, 0), MATCH(TEXT(B583, "[$-421]mmmm"), Master_Target!$B$1:$M$1, 0))</f>
        <v>85000000</v>
      </c>
    </row>
    <row r="584" spans="1:13" x14ac:dyDescent="0.25">
      <c r="A584" s="7" t="s">
        <v>593</v>
      </c>
      <c r="B584" s="11" t="s">
        <v>1209</v>
      </c>
      <c r="C584" s="7">
        <f t="shared" si="36"/>
        <v>8</v>
      </c>
      <c r="D584" s="7" t="str">
        <f t="shared" si="37"/>
        <v>Aug</v>
      </c>
      <c r="E584" s="7" t="s">
        <v>1354</v>
      </c>
      <c r="F584" s="7" t="str">
        <f t="shared" si="38"/>
        <v>Mega Utami</v>
      </c>
      <c r="G584" s="7" t="s">
        <v>1358</v>
      </c>
      <c r="H584" s="7" t="s">
        <v>1362</v>
      </c>
      <c r="I584" s="7">
        <v>2</v>
      </c>
      <c r="J584" s="7" t="str">
        <f>INDEX(Master_Produk!$C$2:$C$11,MATCH(H584,Master_Produk!$A$2:$A$11,0))</f>
        <v>Pakaian</v>
      </c>
      <c r="K584" s="8">
        <f>INDEX(Master_Produk!$E$2:$E$11,MATCH(Data_Transaksi!H584,Master_Produk!$A$2:$A$11,0))</f>
        <v>350000</v>
      </c>
      <c r="L584" s="8">
        <f t="shared" si="39"/>
        <v>700000</v>
      </c>
      <c r="M584" s="8">
        <f>INDEX(Master_Target!$B$2:$M$4, MATCH(J584, Master_Target!$A$2:$A$4, 0), MATCH(TEXT(B584, "[$-421]mmmm"), Master_Target!$B$1:$M$1, 0))</f>
        <v>25500000</v>
      </c>
    </row>
    <row r="585" spans="1:13" x14ac:dyDescent="0.25">
      <c r="A585" s="7" t="s">
        <v>594</v>
      </c>
      <c r="B585" s="11" t="s">
        <v>1209</v>
      </c>
      <c r="C585" s="7">
        <f t="shared" si="36"/>
        <v>8</v>
      </c>
      <c r="D585" s="7" t="str">
        <f t="shared" si="37"/>
        <v>Aug</v>
      </c>
      <c r="E585" s="7" t="s">
        <v>1348</v>
      </c>
      <c r="F585" s="7" t="str">
        <f t="shared" si="38"/>
        <v>Budi Santoso</v>
      </c>
      <c r="G585" s="7" t="s">
        <v>1358</v>
      </c>
      <c r="H585" s="7" t="s">
        <v>1364</v>
      </c>
      <c r="I585" s="7">
        <v>1</v>
      </c>
      <c r="J585" s="7" t="str">
        <f>INDEX(Master_Produk!$C$2:$C$11,MATCH(H585,Master_Produk!$A$2:$A$11,0))</f>
        <v>Furnitur</v>
      </c>
      <c r="K585" s="8">
        <f>INDEX(Master_Produk!$E$2:$E$11,MATCH(Data_Transaksi!H585,Master_Produk!$A$2:$A$11,0))</f>
        <v>950000</v>
      </c>
      <c r="L585" s="8">
        <f t="shared" si="39"/>
        <v>950000</v>
      </c>
      <c r="M585" s="8">
        <f>INDEX(Master_Target!$B$2:$M$4, MATCH(J585, Master_Target!$A$2:$A$4, 0), MATCH(TEXT(B585, "[$-421]mmmm"), Master_Target!$B$1:$M$1, 0))</f>
        <v>34000000</v>
      </c>
    </row>
    <row r="586" spans="1:13" x14ac:dyDescent="0.25">
      <c r="A586" s="7" t="s">
        <v>595</v>
      </c>
      <c r="B586" s="11" t="s">
        <v>1210</v>
      </c>
      <c r="C586" s="7">
        <f t="shared" si="36"/>
        <v>8</v>
      </c>
      <c r="D586" s="7" t="str">
        <f t="shared" si="37"/>
        <v>Aug</v>
      </c>
      <c r="E586" s="7" t="s">
        <v>1350</v>
      </c>
      <c r="F586" s="7" t="str">
        <f t="shared" si="38"/>
        <v>Andi Wijaya</v>
      </c>
      <c r="G586" s="7" t="s">
        <v>1360</v>
      </c>
      <c r="H586" s="7" t="s">
        <v>1370</v>
      </c>
      <c r="I586" s="7">
        <v>1</v>
      </c>
      <c r="J586" s="7" t="str">
        <f>INDEX(Master_Produk!$C$2:$C$11,MATCH(H586,Master_Produk!$A$2:$A$11,0))</f>
        <v>Furnitur</v>
      </c>
      <c r="K586" s="8">
        <f>INDEX(Master_Produk!$E$2:$E$11,MATCH(Data_Transaksi!H586,Master_Produk!$A$2:$A$11,0))</f>
        <v>1200000</v>
      </c>
      <c r="L586" s="8">
        <f t="shared" si="39"/>
        <v>1200000</v>
      </c>
      <c r="M586" s="8">
        <f>INDEX(Master_Target!$B$2:$M$4, MATCH(J586, Master_Target!$A$2:$A$4, 0), MATCH(TEXT(B586, "[$-421]mmmm"), Master_Target!$B$1:$M$1, 0))</f>
        <v>34000000</v>
      </c>
    </row>
    <row r="587" spans="1:13" x14ac:dyDescent="0.25">
      <c r="A587" s="7" t="s">
        <v>596</v>
      </c>
      <c r="B587" s="11" t="s">
        <v>1210</v>
      </c>
      <c r="C587" s="7">
        <f t="shared" si="36"/>
        <v>8</v>
      </c>
      <c r="D587" s="7" t="str">
        <f t="shared" si="37"/>
        <v>Aug</v>
      </c>
      <c r="E587" s="7" t="s">
        <v>1354</v>
      </c>
      <c r="F587" s="7" t="str">
        <f t="shared" si="38"/>
        <v>Mega Utami</v>
      </c>
      <c r="G587" s="7" t="s">
        <v>1357</v>
      </c>
      <c r="H587" s="7" t="s">
        <v>1366</v>
      </c>
      <c r="I587" s="7">
        <v>2</v>
      </c>
      <c r="J587" s="7" t="str">
        <f>INDEX(Master_Produk!$C$2:$C$11,MATCH(H587,Master_Produk!$A$2:$A$11,0))</f>
        <v>Elektronik</v>
      </c>
      <c r="K587" s="8">
        <f>INDEX(Master_Produk!$E$2:$E$11,MATCH(Data_Transaksi!H587,Master_Produk!$A$2:$A$11,0))</f>
        <v>7500000</v>
      </c>
      <c r="L587" s="8">
        <f t="shared" si="39"/>
        <v>15000000</v>
      </c>
      <c r="M587" s="8">
        <f>INDEX(Master_Target!$B$2:$M$4, MATCH(J587, Master_Target!$A$2:$A$4, 0), MATCH(TEXT(B587, "[$-421]mmmm"), Master_Target!$B$1:$M$1, 0))</f>
        <v>85000000</v>
      </c>
    </row>
    <row r="588" spans="1:13" x14ac:dyDescent="0.25">
      <c r="A588" s="7" t="s">
        <v>597</v>
      </c>
      <c r="B588" s="11" t="s">
        <v>1211</v>
      </c>
      <c r="C588" s="7">
        <f t="shared" si="36"/>
        <v>8</v>
      </c>
      <c r="D588" s="7" t="str">
        <f t="shared" si="37"/>
        <v>Aug</v>
      </c>
      <c r="E588" s="7" t="s">
        <v>1354</v>
      </c>
      <c r="F588" s="7" t="str">
        <f t="shared" si="38"/>
        <v>Mega Utami</v>
      </c>
      <c r="G588" s="7" t="s">
        <v>1357</v>
      </c>
      <c r="H588" s="7" t="s">
        <v>1363</v>
      </c>
      <c r="I588" s="7">
        <v>1</v>
      </c>
      <c r="J588" s="7" t="str">
        <f>INDEX(Master_Produk!$C$2:$C$11,MATCH(H588,Master_Produk!$A$2:$A$11,0))</f>
        <v>Pakaian</v>
      </c>
      <c r="K588" s="8">
        <f>INDEX(Master_Produk!$E$2:$E$11,MATCH(Data_Transaksi!H588,Master_Produk!$A$2:$A$11,0))</f>
        <v>250000</v>
      </c>
      <c r="L588" s="8">
        <f t="shared" si="39"/>
        <v>250000</v>
      </c>
      <c r="M588" s="8">
        <f>INDEX(Master_Target!$B$2:$M$4, MATCH(J588, Master_Target!$A$2:$A$4, 0), MATCH(TEXT(B588, "[$-421]mmmm"), Master_Target!$B$1:$M$1, 0))</f>
        <v>25500000</v>
      </c>
    </row>
    <row r="589" spans="1:13" x14ac:dyDescent="0.25">
      <c r="A589" s="7" t="s">
        <v>598</v>
      </c>
      <c r="B589" s="11" t="s">
        <v>1211</v>
      </c>
      <c r="C589" s="7">
        <f t="shared" si="36"/>
        <v>8</v>
      </c>
      <c r="D589" s="7" t="str">
        <f t="shared" si="37"/>
        <v>Aug</v>
      </c>
      <c r="E589" s="7" t="s">
        <v>1353</v>
      </c>
      <c r="F589" s="7" t="str">
        <f t="shared" si="38"/>
        <v>Sari Yuliana</v>
      </c>
      <c r="G589" s="7" t="s">
        <v>1357</v>
      </c>
      <c r="H589" s="7" t="s">
        <v>1368</v>
      </c>
      <c r="I589" s="7">
        <v>1</v>
      </c>
      <c r="J589" s="7" t="str">
        <f>INDEX(Master_Produk!$C$2:$C$11,MATCH(H589,Master_Produk!$A$2:$A$11,0))</f>
        <v>Furnitur</v>
      </c>
      <c r="K589" s="8">
        <f>INDEX(Master_Produk!$E$2:$E$11,MATCH(Data_Transaksi!H589,Master_Produk!$A$2:$A$11,0))</f>
        <v>650000</v>
      </c>
      <c r="L589" s="8">
        <f t="shared" si="39"/>
        <v>650000</v>
      </c>
      <c r="M589" s="8">
        <f>INDEX(Master_Target!$B$2:$M$4, MATCH(J589, Master_Target!$A$2:$A$4, 0), MATCH(TEXT(B589, "[$-421]mmmm"), Master_Target!$B$1:$M$1, 0))</f>
        <v>34000000</v>
      </c>
    </row>
    <row r="590" spans="1:13" x14ac:dyDescent="0.25">
      <c r="A590" s="7" t="s">
        <v>599</v>
      </c>
      <c r="B590" s="11" t="s">
        <v>1211</v>
      </c>
      <c r="C590" s="7">
        <f t="shared" si="36"/>
        <v>8</v>
      </c>
      <c r="D590" s="7" t="str">
        <f t="shared" si="37"/>
        <v>Aug</v>
      </c>
      <c r="E590" s="7" t="s">
        <v>1348</v>
      </c>
      <c r="F590" s="7" t="str">
        <f t="shared" si="38"/>
        <v>Budi Santoso</v>
      </c>
      <c r="G590" s="7" t="s">
        <v>1359</v>
      </c>
      <c r="H590" s="7" t="s">
        <v>1362</v>
      </c>
      <c r="I590" s="7">
        <v>1</v>
      </c>
      <c r="J590" s="7" t="str">
        <f>INDEX(Master_Produk!$C$2:$C$11,MATCH(H590,Master_Produk!$A$2:$A$11,0))</f>
        <v>Pakaian</v>
      </c>
      <c r="K590" s="8">
        <f>INDEX(Master_Produk!$E$2:$E$11,MATCH(Data_Transaksi!H590,Master_Produk!$A$2:$A$11,0))</f>
        <v>350000</v>
      </c>
      <c r="L590" s="8">
        <f t="shared" si="39"/>
        <v>350000</v>
      </c>
      <c r="M590" s="8">
        <f>INDEX(Master_Target!$B$2:$M$4, MATCH(J590, Master_Target!$A$2:$A$4, 0), MATCH(TEXT(B590, "[$-421]mmmm"), Master_Target!$B$1:$M$1, 0))</f>
        <v>25500000</v>
      </c>
    </row>
    <row r="591" spans="1:13" x14ac:dyDescent="0.25">
      <c r="A591" s="7" t="s">
        <v>600</v>
      </c>
      <c r="B591" s="11" t="s">
        <v>1211</v>
      </c>
      <c r="C591" s="7">
        <f t="shared" si="36"/>
        <v>8</v>
      </c>
      <c r="D591" s="7" t="str">
        <f t="shared" si="37"/>
        <v>Aug</v>
      </c>
      <c r="E591" s="7" t="s">
        <v>1353</v>
      </c>
      <c r="F591" s="7" t="str">
        <f t="shared" si="38"/>
        <v>Sari Yuliana</v>
      </c>
      <c r="G591" s="7" t="s">
        <v>1359</v>
      </c>
      <c r="H591" s="7" t="s">
        <v>1362</v>
      </c>
      <c r="I591" s="7">
        <v>1</v>
      </c>
      <c r="J591" s="7" t="str">
        <f>INDEX(Master_Produk!$C$2:$C$11,MATCH(H591,Master_Produk!$A$2:$A$11,0))</f>
        <v>Pakaian</v>
      </c>
      <c r="K591" s="8">
        <f>INDEX(Master_Produk!$E$2:$E$11,MATCH(Data_Transaksi!H591,Master_Produk!$A$2:$A$11,0))</f>
        <v>350000</v>
      </c>
      <c r="L591" s="8">
        <f t="shared" si="39"/>
        <v>350000</v>
      </c>
      <c r="M591" s="8">
        <f>INDEX(Master_Target!$B$2:$M$4, MATCH(J591, Master_Target!$A$2:$A$4, 0), MATCH(TEXT(B591, "[$-421]mmmm"), Master_Target!$B$1:$M$1, 0))</f>
        <v>25500000</v>
      </c>
    </row>
    <row r="592" spans="1:13" x14ac:dyDescent="0.25">
      <c r="A592" s="7" t="s">
        <v>601</v>
      </c>
      <c r="B592" s="11" t="s">
        <v>1211</v>
      </c>
      <c r="C592" s="7">
        <f t="shared" si="36"/>
        <v>8</v>
      </c>
      <c r="D592" s="7" t="str">
        <f t="shared" si="37"/>
        <v>Aug</v>
      </c>
      <c r="E592" s="7" t="s">
        <v>1354</v>
      </c>
      <c r="F592" s="7" t="str">
        <f t="shared" si="38"/>
        <v>Mega Utami</v>
      </c>
      <c r="G592" s="7" t="s">
        <v>1357</v>
      </c>
      <c r="H592" s="7" t="s">
        <v>1365</v>
      </c>
      <c r="I592" s="7">
        <v>1</v>
      </c>
      <c r="J592" s="7" t="str">
        <f>INDEX(Master_Produk!$C$2:$C$11,MATCH(H592,Master_Produk!$A$2:$A$11,0))</f>
        <v>Elektronik</v>
      </c>
      <c r="K592" s="8">
        <f>INDEX(Master_Produk!$E$2:$E$11,MATCH(Data_Transaksi!H592,Master_Produk!$A$2:$A$11,0))</f>
        <v>1800000</v>
      </c>
      <c r="L592" s="8">
        <f t="shared" si="39"/>
        <v>1800000</v>
      </c>
      <c r="M592" s="8">
        <f>INDEX(Master_Target!$B$2:$M$4, MATCH(J592, Master_Target!$A$2:$A$4, 0), MATCH(TEXT(B592, "[$-421]mmmm"), Master_Target!$B$1:$M$1, 0))</f>
        <v>85000000</v>
      </c>
    </row>
    <row r="593" spans="1:13" x14ac:dyDescent="0.25">
      <c r="A593" s="7" t="s">
        <v>602</v>
      </c>
      <c r="B593" s="11" t="s">
        <v>1211</v>
      </c>
      <c r="C593" s="7">
        <f t="shared" si="36"/>
        <v>8</v>
      </c>
      <c r="D593" s="7" t="str">
        <f t="shared" si="37"/>
        <v>Aug</v>
      </c>
      <c r="E593" s="7" t="s">
        <v>1355</v>
      </c>
      <c r="F593" s="7" t="str">
        <f t="shared" si="38"/>
        <v>Bambang H.</v>
      </c>
      <c r="G593" s="7" t="s">
        <v>1358</v>
      </c>
      <c r="H593" s="7" t="s">
        <v>1363</v>
      </c>
      <c r="I593" s="7">
        <v>1</v>
      </c>
      <c r="J593" s="7" t="str">
        <f>INDEX(Master_Produk!$C$2:$C$11,MATCH(H593,Master_Produk!$A$2:$A$11,0))</f>
        <v>Pakaian</v>
      </c>
      <c r="K593" s="8">
        <f>INDEX(Master_Produk!$E$2:$E$11,MATCH(Data_Transaksi!H593,Master_Produk!$A$2:$A$11,0))</f>
        <v>250000</v>
      </c>
      <c r="L593" s="8">
        <f t="shared" si="39"/>
        <v>250000</v>
      </c>
      <c r="M593" s="8">
        <f>INDEX(Master_Target!$B$2:$M$4, MATCH(J593, Master_Target!$A$2:$A$4, 0), MATCH(TEXT(B593, "[$-421]mmmm"), Master_Target!$B$1:$M$1, 0))</f>
        <v>25500000</v>
      </c>
    </row>
    <row r="594" spans="1:13" x14ac:dyDescent="0.25">
      <c r="A594" s="7" t="s">
        <v>603</v>
      </c>
      <c r="B594" s="11" t="s">
        <v>1212</v>
      </c>
      <c r="C594" s="7">
        <f t="shared" si="36"/>
        <v>8</v>
      </c>
      <c r="D594" s="7" t="str">
        <f t="shared" si="37"/>
        <v>Aug</v>
      </c>
      <c r="E594" s="7" t="s">
        <v>1348</v>
      </c>
      <c r="F594" s="7" t="str">
        <f t="shared" si="38"/>
        <v>Budi Santoso</v>
      </c>
      <c r="G594" s="7" t="s">
        <v>1361</v>
      </c>
      <c r="H594" s="7" t="s">
        <v>1370</v>
      </c>
      <c r="I594" s="7">
        <v>2</v>
      </c>
      <c r="J594" s="7" t="str">
        <f>INDEX(Master_Produk!$C$2:$C$11,MATCH(H594,Master_Produk!$A$2:$A$11,0))</f>
        <v>Furnitur</v>
      </c>
      <c r="K594" s="8">
        <f>INDEX(Master_Produk!$E$2:$E$11,MATCH(Data_Transaksi!H594,Master_Produk!$A$2:$A$11,0))</f>
        <v>1200000</v>
      </c>
      <c r="L594" s="8">
        <f t="shared" si="39"/>
        <v>2400000</v>
      </c>
      <c r="M594" s="8">
        <f>INDEX(Master_Target!$B$2:$M$4, MATCH(J594, Master_Target!$A$2:$A$4, 0), MATCH(TEXT(B594, "[$-421]mmmm"), Master_Target!$B$1:$M$1, 0))</f>
        <v>34000000</v>
      </c>
    </row>
    <row r="595" spans="1:13" x14ac:dyDescent="0.25">
      <c r="A595" s="7" t="s">
        <v>604</v>
      </c>
      <c r="B595" s="11" t="s">
        <v>1212</v>
      </c>
      <c r="C595" s="7">
        <f t="shared" si="36"/>
        <v>8</v>
      </c>
      <c r="D595" s="7" t="str">
        <f t="shared" si="37"/>
        <v>Aug</v>
      </c>
      <c r="E595" s="7" t="s">
        <v>1356</v>
      </c>
      <c r="F595" s="7" t="str">
        <f t="shared" si="38"/>
        <v>Eko Prasetyo</v>
      </c>
      <c r="G595" s="7" t="s">
        <v>1357</v>
      </c>
      <c r="H595" s="7" t="s">
        <v>1364</v>
      </c>
      <c r="I595" s="7">
        <v>2</v>
      </c>
      <c r="J595" s="7" t="str">
        <f>INDEX(Master_Produk!$C$2:$C$11,MATCH(H595,Master_Produk!$A$2:$A$11,0))</f>
        <v>Furnitur</v>
      </c>
      <c r="K595" s="8">
        <f>INDEX(Master_Produk!$E$2:$E$11,MATCH(Data_Transaksi!H595,Master_Produk!$A$2:$A$11,0))</f>
        <v>950000</v>
      </c>
      <c r="L595" s="8">
        <f t="shared" si="39"/>
        <v>1900000</v>
      </c>
      <c r="M595" s="8">
        <f>INDEX(Master_Target!$B$2:$M$4, MATCH(J595, Master_Target!$A$2:$A$4, 0), MATCH(TEXT(B595, "[$-421]mmmm"), Master_Target!$B$1:$M$1, 0))</f>
        <v>34000000</v>
      </c>
    </row>
    <row r="596" spans="1:13" x14ac:dyDescent="0.25">
      <c r="A596" s="7" t="s">
        <v>605</v>
      </c>
      <c r="B596" s="11" t="s">
        <v>1212</v>
      </c>
      <c r="C596" s="7">
        <f t="shared" si="36"/>
        <v>8</v>
      </c>
      <c r="D596" s="7" t="str">
        <f t="shared" si="37"/>
        <v>Aug</v>
      </c>
      <c r="E596" s="7" t="s">
        <v>1349</v>
      </c>
      <c r="F596" s="7" t="str">
        <f t="shared" si="38"/>
        <v>Dewi Lestari</v>
      </c>
      <c r="G596" s="7" t="s">
        <v>1361</v>
      </c>
      <c r="H596" s="7" t="s">
        <v>1371</v>
      </c>
      <c r="I596" s="7">
        <v>3</v>
      </c>
      <c r="J596" s="7" t="str">
        <f>INDEX(Master_Produk!$C$2:$C$11,MATCH(H596,Master_Produk!$A$2:$A$11,0))</f>
        <v>Pakaian</v>
      </c>
      <c r="K596" s="8">
        <f>INDEX(Master_Produk!$E$2:$E$11,MATCH(Data_Transaksi!H596,Master_Produk!$A$2:$A$11,0))</f>
        <v>280000</v>
      </c>
      <c r="L596" s="8">
        <f t="shared" si="39"/>
        <v>840000</v>
      </c>
      <c r="M596" s="8">
        <f>INDEX(Master_Target!$B$2:$M$4, MATCH(J596, Master_Target!$A$2:$A$4, 0), MATCH(TEXT(B596, "[$-421]mmmm"), Master_Target!$B$1:$M$1, 0))</f>
        <v>25500000</v>
      </c>
    </row>
    <row r="597" spans="1:13" x14ac:dyDescent="0.25">
      <c r="A597" s="7" t="s">
        <v>606</v>
      </c>
      <c r="B597" s="11" t="s">
        <v>1212</v>
      </c>
      <c r="C597" s="7">
        <f t="shared" si="36"/>
        <v>8</v>
      </c>
      <c r="D597" s="7" t="str">
        <f t="shared" si="37"/>
        <v>Aug</v>
      </c>
      <c r="E597" s="7" t="s">
        <v>1354</v>
      </c>
      <c r="F597" s="7" t="str">
        <f t="shared" si="38"/>
        <v>Mega Utami</v>
      </c>
      <c r="G597" s="7" t="s">
        <v>1357</v>
      </c>
      <c r="H597" s="7" t="s">
        <v>1364</v>
      </c>
      <c r="I597" s="7">
        <v>1</v>
      </c>
      <c r="J597" s="7" t="str">
        <f>INDEX(Master_Produk!$C$2:$C$11,MATCH(H597,Master_Produk!$A$2:$A$11,0))</f>
        <v>Furnitur</v>
      </c>
      <c r="K597" s="8">
        <f>INDEX(Master_Produk!$E$2:$E$11,MATCH(Data_Transaksi!H597,Master_Produk!$A$2:$A$11,0))</f>
        <v>950000</v>
      </c>
      <c r="L597" s="8">
        <f t="shared" si="39"/>
        <v>950000</v>
      </c>
      <c r="M597" s="8">
        <f>INDEX(Master_Target!$B$2:$M$4, MATCH(J597, Master_Target!$A$2:$A$4, 0), MATCH(TEXT(B597, "[$-421]mmmm"), Master_Target!$B$1:$M$1, 0))</f>
        <v>34000000</v>
      </c>
    </row>
    <row r="598" spans="1:13" x14ac:dyDescent="0.25">
      <c r="A598" s="7" t="s">
        <v>607</v>
      </c>
      <c r="B598" s="11" t="s">
        <v>1212</v>
      </c>
      <c r="C598" s="7">
        <f t="shared" si="36"/>
        <v>8</v>
      </c>
      <c r="D598" s="7" t="str">
        <f t="shared" si="37"/>
        <v>Aug</v>
      </c>
      <c r="E598" s="7" t="s">
        <v>1354</v>
      </c>
      <c r="F598" s="7" t="str">
        <f t="shared" si="38"/>
        <v>Mega Utami</v>
      </c>
      <c r="G598" s="7" t="s">
        <v>1361</v>
      </c>
      <c r="H598" s="7" t="s">
        <v>1365</v>
      </c>
      <c r="I598" s="7">
        <v>1</v>
      </c>
      <c r="J598" s="7" t="str">
        <f>INDEX(Master_Produk!$C$2:$C$11,MATCH(H598,Master_Produk!$A$2:$A$11,0))</f>
        <v>Elektronik</v>
      </c>
      <c r="K598" s="8">
        <f>INDEX(Master_Produk!$E$2:$E$11,MATCH(Data_Transaksi!H598,Master_Produk!$A$2:$A$11,0))</f>
        <v>1800000</v>
      </c>
      <c r="L598" s="8">
        <f t="shared" si="39"/>
        <v>1800000</v>
      </c>
      <c r="M598" s="8">
        <f>INDEX(Master_Target!$B$2:$M$4, MATCH(J598, Master_Target!$A$2:$A$4, 0), MATCH(TEXT(B598, "[$-421]mmmm"), Master_Target!$B$1:$M$1, 0))</f>
        <v>85000000</v>
      </c>
    </row>
    <row r="599" spans="1:13" x14ac:dyDescent="0.25">
      <c r="A599" s="7" t="s">
        <v>608</v>
      </c>
      <c r="B599" s="11" t="s">
        <v>1213</v>
      </c>
      <c r="C599" s="7">
        <f t="shared" si="36"/>
        <v>8</v>
      </c>
      <c r="D599" s="7" t="str">
        <f t="shared" si="37"/>
        <v>Aug</v>
      </c>
      <c r="E599" s="7" t="s">
        <v>1352</v>
      </c>
      <c r="F599" s="7" t="str">
        <f t="shared" si="38"/>
        <v>Ahmad Fauzi</v>
      </c>
      <c r="G599" s="7" t="s">
        <v>1358</v>
      </c>
      <c r="H599" s="7" t="s">
        <v>1362</v>
      </c>
      <c r="I599" s="7">
        <v>1</v>
      </c>
      <c r="J599" s="7" t="str">
        <f>INDEX(Master_Produk!$C$2:$C$11,MATCH(H599,Master_Produk!$A$2:$A$11,0))</f>
        <v>Pakaian</v>
      </c>
      <c r="K599" s="8">
        <f>INDEX(Master_Produk!$E$2:$E$11,MATCH(Data_Transaksi!H599,Master_Produk!$A$2:$A$11,0))</f>
        <v>350000</v>
      </c>
      <c r="L599" s="8">
        <f t="shared" si="39"/>
        <v>350000</v>
      </c>
      <c r="M599" s="8">
        <f>INDEX(Master_Target!$B$2:$M$4, MATCH(J599, Master_Target!$A$2:$A$4, 0), MATCH(TEXT(B599, "[$-421]mmmm"), Master_Target!$B$1:$M$1, 0))</f>
        <v>25500000</v>
      </c>
    </row>
    <row r="600" spans="1:13" x14ac:dyDescent="0.25">
      <c r="A600" s="7" t="s">
        <v>609</v>
      </c>
      <c r="B600" s="11" t="s">
        <v>1213</v>
      </c>
      <c r="C600" s="7">
        <f t="shared" si="36"/>
        <v>8</v>
      </c>
      <c r="D600" s="7" t="str">
        <f t="shared" si="37"/>
        <v>Aug</v>
      </c>
      <c r="E600" s="7" t="s">
        <v>1352</v>
      </c>
      <c r="F600" s="7" t="str">
        <f t="shared" si="38"/>
        <v>Ahmad Fauzi</v>
      </c>
      <c r="G600" s="7" t="s">
        <v>1359</v>
      </c>
      <c r="H600" s="7" t="s">
        <v>1364</v>
      </c>
      <c r="I600" s="7">
        <v>2</v>
      </c>
      <c r="J600" s="7" t="str">
        <f>INDEX(Master_Produk!$C$2:$C$11,MATCH(H600,Master_Produk!$A$2:$A$11,0))</f>
        <v>Furnitur</v>
      </c>
      <c r="K600" s="8">
        <f>INDEX(Master_Produk!$E$2:$E$11,MATCH(Data_Transaksi!H600,Master_Produk!$A$2:$A$11,0))</f>
        <v>950000</v>
      </c>
      <c r="L600" s="8">
        <f t="shared" si="39"/>
        <v>1900000</v>
      </c>
      <c r="M600" s="8">
        <f>INDEX(Master_Target!$B$2:$M$4, MATCH(J600, Master_Target!$A$2:$A$4, 0), MATCH(TEXT(B600, "[$-421]mmmm"), Master_Target!$B$1:$M$1, 0))</f>
        <v>34000000</v>
      </c>
    </row>
    <row r="601" spans="1:13" x14ac:dyDescent="0.25">
      <c r="A601" s="7" t="s">
        <v>610</v>
      </c>
      <c r="B601" s="11" t="s">
        <v>1213</v>
      </c>
      <c r="C601" s="7">
        <f t="shared" si="36"/>
        <v>8</v>
      </c>
      <c r="D601" s="7" t="str">
        <f t="shared" si="37"/>
        <v>Aug</v>
      </c>
      <c r="E601" s="7" t="s">
        <v>1353</v>
      </c>
      <c r="F601" s="7" t="str">
        <f t="shared" si="38"/>
        <v>Sari Yuliana</v>
      </c>
      <c r="G601" s="7" t="s">
        <v>1357</v>
      </c>
      <c r="H601" s="7" t="s">
        <v>1367</v>
      </c>
      <c r="I601" s="7">
        <v>3</v>
      </c>
      <c r="J601" s="7" t="str">
        <f>INDEX(Master_Produk!$C$2:$C$11,MATCH(H601,Master_Produk!$A$2:$A$11,0))</f>
        <v>Elektronik</v>
      </c>
      <c r="K601" s="8">
        <f>INDEX(Master_Produk!$E$2:$E$11,MATCH(Data_Transaksi!H601,Master_Produk!$A$2:$A$11,0))</f>
        <v>250000</v>
      </c>
      <c r="L601" s="8">
        <f t="shared" si="39"/>
        <v>750000</v>
      </c>
      <c r="M601" s="8">
        <f>INDEX(Master_Target!$B$2:$M$4, MATCH(J601, Master_Target!$A$2:$A$4, 0), MATCH(TEXT(B601, "[$-421]mmmm"), Master_Target!$B$1:$M$1, 0))</f>
        <v>85000000</v>
      </c>
    </row>
    <row r="602" spans="1:13" x14ac:dyDescent="0.25">
      <c r="A602" s="7" t="s">
        <v>611</v>
      </c>
      <c r="B602" s="11" t="s">
        <v>1213</v>
      </c>
      <c r="C602" s="7">
        <f t="shared" si="36"/>
        <v>8</v>
      </c>
      <c r="D602" s="7" t="str">
        <f t="shared" si="37"/>
        <v>Aug</v>
      </c>
      <c r="E602" s="7" t="s">
        <v>1350</v>
      </c>
      <c r="F602" s="7" t="str">
        <f t="shared" si="38"/>
        <v>Andi Wijaya</v>
      </c>
      <c r="G602" s="7" t="s">
        <v>1357</v>
      </c>
      <c r="H602" s="7" t="s">
        <v>1368</v>
      </c>
      <c r="I602" s="7">
        <v>1</v>
      </c>
      <c r="J602" s="7" t="str">
        <f>INDEX(Master_Produk!$C$2:$C$11,MATCH(H602,Master_Produk!$A$2:$A$11,0))</f>
        <v>Furnitur</v>
      </c>
      <c r="K602" s="8">
        <f>INDEX(Master_Produk!$E$2:$E$11,MATCH(Data_Transaksi!H602,Master_Produk!$A$2:$A$11,0))</f>
        <v>650000</v>
      </c>
      <c r="L602" s="8">
        <f t="shared" si="39"/>
        <v>650000</v>
      </c>
      <c r="M602" s="8">
        <f>INDEX(Master_Target!$B$2:$M$4, MATCH(J602, Master_Target!$A$2:$A$4, 0), MATCH(TEXT(B602, "[$-421]mmmm"), Master_Target!$B$1:$M$1, 0))</f>
        <v>34000000</v>
      </c>
    </row>
    <row r="603" spans="1:13" x14ac:dyDescent="0.25">
      <c r="A603" s="7" t="s">
        <v>612</v>
      </c>
      <c r="B603" s="11" t="s">
        <v>1213</v>
      </c>
      <c r="C603" s="7">
        <f t="shared" si="36"/>
        <v>8</v>
      </c>
      <c r="D603" s="7" t="str">
        <f t="shared" si="37"/>
        <v>Aug</v>
      </c>
      <c r="E603" s="7" t="s">
        <v>1355</v>
      </c>
      <c r="F603" s="7" t="str">
        <f t="shared" si="38"/>
        <v>Bambang H.</v>
      </c>
      <c r="G603" s="7" t="s">
        <v>1358</v>
      </c>
      <c r="H603" s="7" t="s">
        <v>1371</v>
      </c>
      <c r="I603" s="7">
        <v>5</v>
      </c>
      <c r="J603" s="7" t="str">
        <f>INDEX(Master_Produk!$C$2:$C$11,MATCH(H603,Master_Produk!$A$2:$A$11,0))</f>
        <v>Pakaian</v>
      </c>
      <c r="K603" s="8">
        <f>INDEX(Master_Produk!$E$2:$E$11,MATCH(Data_Transaksi!H603,Master_Produk!$A$2:$A$11,0))</f>
        <v>280000</v>
      </c>
      <c r="L603" s="8">
        <f t="shared" si="39"/>
        <v>1400000</v>
      </c>
      <c r="M603" s="8">
        <f>INDEX(Master_Target!$B$2:$M$4, MATCH(J603, Master_Target!$A$2:$A$4, 0), MATCH(TEXT(B603, "[$-421]mmmm"), Master_Target!$B$1:$M$1, 0))</f>
        <v>25500000</v>
      </c>
    </row>
    <row r="604" spans="1:13" x14ac:dyDescent="0.25">
      <c r="A604" s="7" t="s">
        <v>613</v>
      </c>
      <c r="B604" s="11" t="s">
        <v>1213</v>
      </c>
      <c r="C604" s="7">
        <f t="shared" si="36"/>
        <v>8</v>
      </c>
      <c r="D604" s="7" t="str">
        <f t="shared" si="37"/>
        <v>Aug</v>
      </c>
      <c r="E604" s="7" t="s">
        <v>1350</v>
      </c>
      <c r="F604" s="7" t="str">
        <f t="shared" si="38"/>
        <v>Andi Wijaya</v>
      </c>
      <c r="G604" s="7" t="s">
        <v>1360</v>
      </c>
      <c r="H604" s="7" t="s">
        <v>1363</v>
      </c>
      <c r="I604" s="7">
        <v>1</v>
      </c>
      <c r="J604" s="7" t="str">
        <f>INDEX(Master_Produk!$C$2:$C$11,MATCH(H604,Master_Produk!$A$2:$A$11,0))</f>
        <v>Pakaian</v>
      </c>
      <c r="K604" s="8">
        <f>INDEX(Master_Produk!$E$2:$E$11,MATCH(Data_Transaksi!H604,Master_Produk!$A$2:$A$11,0))</f>
        <v>250000</v>
      </c>
      <c r="L604" s="8">
        <f t="shared" si="39"/>
        <v>250000</v>
      </c>
      <c r="M604" s="8">
        <f>INDEX(Master_Target!$B$2:$M$4, MATCH(J604, Master_Target!$A$2:$A$4, 0), MATCH(TEXT(B604, "[$-421]mmmm"), Master_Target!$B$1:$M$1, 0))</f>
        <v>25500000</v>
      </c>
    </row>
    <row r="605" spans="1:13" x14ac:dyDescent="0.25">
      <c r="A605" s="7" t="s">
        <v>614</v>
      </c>
      <c r="B605" s="11" t="s">
        <v>1213</v>
      </c>
      <c r="C605" s="7">
        <f t="shared" si="36"/>
        <v>8</v>
      </c>
      <c r="D605" s="7" t="str">
        <f t="shared" si="37"/>
        <v>Aug</v>
      </c>
      <c r="E605" s="7" t="s">
        <v>1349</v>
      </c>
      <c r="F605" s="7" t="str">
        <f t="shared" si="38"/>
        <v>Dewi Lestari</v>
      </c>
      <c r="G605" s="7" t="s">
        <v>1357</v>
      </c>
      <c r="H605" s="7" t="s">
        <v>1367</v>
      </c>
      <c r="I605" s="7">
        <v>2</v>
      </c>
      <c r="J605" s="7" t="str">
        <f>INDEX(Master_Produk!$C$2:$C$11,MATCH(H605,Master_Produk!$A$2:$A$11,0))</f>
        <v>Elektronik</v>
      </c>
      <c r="K605" s="8">
        <f>INDEX(Master_Produk!$E$2:$E$11,MATCH(Data_Transaksi!H605,Master_Produk!$A$2:$A$11,0))</f>
        <v>250000</v>
      </c>
      <c r="L605" s="8">
        <f t="shared" si="39"/>
        <v>500000</v>
      </c>
      <c r="M605" s="8">
        <f>INDEX(Master_Target!$B$2:$M$4, MATCH(J605, Master_Target!$A$2:$A$4, 0), MATCH(TEXT(B605, "[$-421]mmmm"), Master_Target!$B$1:$M$1, 0))</f>
        <v>85000000</v>
      </c>
    </row>
    <row r="606" spans="1:13" x14ac:dyDescent="0.25">
      <c r="A606" s="7" t="s">
        <v>615</v>
      </c>
      <c r="B606" s="11" t="s">
        <v>1214</v>
      </c>
      <c r="C606" s="7">
        <f t="shared" si="36"/>
        <v>8</v>
      </c>
      <c r="D606" s="7" t="str">
        <f t="shared" si="37"/>
        <v>Aug</v>
      </c>
      <c r="E606" s="7" t="s">
        <v>1354</v>
      </c>
      <c r="F606" s="7" t="str">
        <f t="shared" si="38"/>
        <v>Mega Utami</v>
      </c>
      <c r="G606" s="7" t="s">
        <v>1361</v>
      </c>
      <c r="H606" s="7" t="s">
        <v>1367</v>
      </c>
      <c r="I606" s="7">
        <v>3</v>
      </c>
      <c r="J606" s="7" t="str">
        <f>INDEX(Master_Produk!$C$2:$C$11,MATCH(H606,Master_Produk!$A$2:$A$11,0))</f>
        <v>Elektronik</v>
      </c>
      <c r="K606" s="8">
        <f>INDEX(Master_Produk!$E$2:$E$11,MATCH(Data_Transaksi!H606,Master_Produk!$A$2:$A$11,0))</f>
        <v>250000</v>
      </c>
      <c r="L606" s="8">
        <f t="shared" si="39"/>
        <v>750000</v>
      </c>
      <c r="M606" s="8">
        <f>INDEX(Master_Target!$B$2:$M$4, MATCH(J606, Master_Target!$A$2:$A$4, 0), MATCH(TEXT(B606, "[$-421]mmmm"), Master_Target!$B$1:$M$1, 0))</f>
        <v>85000000</v>
      </c>
    </row>
    <row r="607" spans="1:13" x14ac:dyDescent="0.25">
      <c r="A607" s="7" t="s">
        <v>616</v>
      </c>
      <c r="B607" s="11" t="s">
        <v>1215</v>
      </c>
      <c r="C607" s="7">
        <f t="shared" si="36"/>
        <v>8</v>
      </c>
      <c r="D607" s="7" t="str">
        <f t="shared" si="37"/>
        <v>Aug</v>
      </c>
      <c r="E607" s="7" t="s">
        <v>1355</v>
      </c>
      <c r="F607" s="7" t="str">
        <f t="shared" si="38"/>
        <v>Bambang H.</v>
      </c>
      <c r="G607" s="7" t="s">
        <v>1358</v>
      </c>
      <c r="H607" s="7" t="s">
        <v>1367</v>
      </c>
      <c r="I607" s="7">
        <v>4</v>
      </c>
      <c r="J607" s="7" t="str">
        <f>INDEX(Master_Produk!$C$2:$C$11,MATCH(H607,Master_Produk!$A$2:$A$11,0))</f>
        <v>Elektronik</v>
      </c>
      <c r="K607" s="8">
        <f>INDEX(Master_Produk!$E$2:$E$11,MATCH(Data_Transaksi!H607,Master_Produk!$A$2:$A$11,0))</f>
        <v>250000</v>
      </c>
      <c r="L607" s="8">
        <f t="shared" si="39"/>
        <v>1000000</v>
      </c>
      <c r="M607" s="8">
        <f>INDEX(Master_Target!$B$2:$M$4, MATCH(J607, Master_Target!$A$2:$A$4, 0), MATCH(TEXT(B607, "[$-421]mmmm"), Master_Target!$B$1:$M$1, 0))</f>
        <v>85000000</v>
      </c>
    </row>
    <row r="608" spans="1:13" x14ac:dyDescent="0.25">
      <c r="A608" s="7" t="s">
        <v>617</v>
      </c>
      <c r="B608" s="11" t="s">
        <v>1215</v>
      </c>
      <c r="C608" s="7">
        <f t="shared" si="36"/>
        <v>8</v>
      </c>
      <c r="D608" s="7" t="str">
        <f t="shared" si="37"/>
        <v>Aug</v>
      </c>
      <c r="E608" s="7" t="s">
        <v>1348</v>
      </c>
      <c r="F608" s="7" t="str">
        <f t="shared" si="38"/>
        <v>Budi Santoso</v>
      </c>
      <c r="G608" s="7" t="s">
        <v>1360</v>
      </c>
      <c r="H608" s="7" t="s">
        <v>1370</v>
      </c>
      <c r="I608" s="7">
        <v>3</v>
      </c>
      <c r="J608" s="7" t="str">
        <f>INDEX(Master_Produk!$C$2:$C$11,MATCH(H608,Master_Produk!$A$2:$A$11,0))</f>
        <v>Furnitur</v>
      </c>
      <c r="K608" s="8">
        <f>INDEX(Master_Produk!$E$2:$E$11,MATCH(Data_Transaksi!H608,Master_Produk!$A$2:$A$11,0))</f>
        <v>1200000</v>
      </c>
      <c r="L608" s="8">
        <f t="shared" si="39"/>
        <v>3600000</v>
      </c>
      <c r="M608" s="8">
        <f>INDEX(Master_Target!$B$2:$M$4, MATCH(J608, Master_Target!$A$2:$A$4, 0), MATCH(TEXT(B608, "[$-421]mmmm"), Master_Target!$B$1:$M$1, 0))</f>
        <v>34000000</v>
      </c>
    </row>
    <row r="609" spans="1:13" x14ac:dyDescent="0.25">
      <c r="A609" s="7" t="s">
        <v>618</v>
      </c>
      <c r="B609" s="11" t="s">
        <v>1215</v>
      </c>
      <c r="C609" s="7">
        <f t="shared" si="36"/>
        <v>8</v>
      </c>
      <c r="D609" s="7" t="str">
        <f t="shared" si="37"/>
        <v>Aug</v>
      </c>
      <c r="E609" s="7" t="s">
        <v>1354</v>
      </c>
      <c r="F609" s="7" t="str">
        <f t="shared" si="38"/>
        <v>Mega Utami</v>
      </c>
      <c r="G609" s="7" t="s">
        <v>1357</v>
      </c>
      <c r="H609" s="7" t="s">
        <v>1371</v>
      </c>
      <c r="I609" s="7">
        <v>3</v>
      </c>
      <c r="J609" s="7" t="str">
        <f>INDEX(Master_Produk!$C$2:$C$11,MATCH(H609,Master_Produk!$A$2:$A$11,0))</f>
        <v>Pakaian</v>
      </c>
      <c r="K609" s="8">
        <f>INDEX(Master_Produk!$E$2:$E$11,MATCH(Data_Transaksi!H609,Master_Produk!$A$2:$A$11,0))</f>
        <v>280000</v>
      </c>
      <c r="L609" s="8">
        <f t="shared" si="39"/>
        <v>840000</v>
      </c>
      <c r="M609" s="8">
        <f>INDEX(Master_Target!$B$2:$M$4, MATCH(J609, Master_Target!$A$2:$A$4, 0), MATCH(TEXT(B609, "[$-421]mmmm"), Master_Target!$B$1:$M$1, 0))</f>
        <v>25500000</v>
      </c>
    </row>
    <row r="610" spans="1:13" x14ac:dyDescent="0.25">
      <c r="A610" s="7" t="s">
        <v>619</v>
      </c>
      <c r="B610" s="11" t="s">
        <v>1216</v>
      </c>
      <c r="C610" s="7">
        <f t="shared" si="36"/>
        <v>8</v>
      </c>
      <c r="D610" s="7" t="str">
        <f t="shared" si="37"/>
        <v>Aug</v>
      </c>
      <c r="E610" s="7" t="s">
        <v>1356</v>
      </c>
      <c r="F610" s="7" t="str">
        <f t="shared" si="38"/>
        <v>Eko Prasetyo</v>
      </c>
      <c r="G610" s="7" t="s">
        <v>1357</v>
      </c>
      <c r="H610" s="7" t="s">
        <v>1370</v>
      </c>
      <c r="I610" s="7">
        <v>1</v>
      </c>
      <c r="J610" s="7" t="str">
        <f>INDEX(Master_Produk!$C$2:$C$11,MATCH(H610,Master_Produk!$A$2:$A$11,0))</f>
        <v>Furnitur</v>
      </c>
      <c r="K610" s="8">
        <f>INDEX(Master_Produk!$E$2:$E$11,MATCH(Data_Transaksi!H610,Master_Produk!$A$2:$A$11,0))</f>
        <v>1200000</v>
      </c>
      <c r="L610" s="8">
        <f t="shared" si="39"/>
        <v>1200000</v>
      </c>
      <c r="M610" s="8">
        <f>INDEX(Master_Target!$B$2:$M$4, MATCH(J610, Master_Target!$A$2:$A$4, 0), MATCH(TEXT(B610, "[$-421]mmmm"), Master_Target!$B$1:$M$1, 0))</f>
        <v>34000000</v>
      </c>
    </row>
    <row r="611" spans="1:13" x14ac:dyDescent="0.25">
      <c r="A611" s="7" t="s">
        <v>620</v>
      </c>
      <c r="B611" s="11" t="s">
        <v>1216</v>
      </c>
      <c r="C611" s="7">
        <f t="shared" si="36"/>
        <v>8</v>
      </c>
      <c r="D611" s="7" t="str">
        <f t="shared" si="37"/>
        <v>Aug</v>
      </c>
      <c r="E611" s="7" t="s">
        <v>1354</v>
      </c>
      <c r="F611" s="7" t="str">
        <f t="shared" si="38"/>
        <v>Mega Utami</v>
      </c>
      <c r="G611" s="7" t="s">
        <v>1359</v>
      </c>
      <c r="H611" s="7" t="s">
        <v>1370</v>
      </c>
      <c r="I611" s="7">
        <v>3</v>
      </c>
      <c r="J611" s="7" t="str">
        <f>INDEX(Master_Produk!$C$2:$C$11,MATCH(H611,Master_Produk!$A$2:$A$11,0))</f>
        <v>Furnitur</v>
      </c>
      <c r="K611" s="8">
        <f>INDEX(Master_Produk!$E$2:$E$11,MATCH(Data_Transaksi!H611,Master_Produk!$A$2:$A$11,0))</f>
        <v>1200000</v>
      </c>
      <c r="L611" s="8">
        <f t="shared" si="39"/>
        <v>3600000</v>
      </c>
      <c r="M611" s="8">
        <f>INDEX(Master_Target!$B$2:$M$4, MATCH(J611, Master_Target!$A$2:$A$4, 0), MATCH(TEXT(B611, "[$-421]mmmm"), Master_Target!$B$1:$M$1, 0))</f>
        <v>34000000</v>
      </c>
    </row>
    <row r="612" spans="1:13" x14ac:dyDescent="0.25">
      <c r="A612" s="7" t="s">
        <v>621</v>
      </c>
      <c r="B612" s="11" t="s">
        <v>1216</v>
      </c>
      <c r="C612" s="7">
        <f t="shared" si="36"/>
        <v>8</v>
      </c>
      <c r="D612" s="7" t="str">
        <f t="shared" si="37"/>
        <v>Aug</v>
      </c>
      <c r="E612" s="7" t="s">
        <v>1351</v>
      </c>
      <c r="F612" s="7" t="str">
        <f t="shared" si="38"/>
        <v>Siti Rahma</v>
      </c>
      <c r="G612" s="7" t="s">
        <v>1360</v>
      </c>
      <c r="H612" s="7" t="s">
        <v>1368</v>
      </c>
      <c r="I612" s="7">
        <v>1</v>
      </c>
      <c r="J612" s="7" t="str">
        <f>INDEX(Master_Produk!$C$2:$C$11,MATCH(H612,Master_Produk!$A$2:$A$11,0))</f>
        <v>Furnitur</v>
      </c>
      <c r="K612" s="8">
        <f>INDEX(Master_Produk!$E$2:$E$11,MATCH(Data_Transaksi!H612,Master_Produk!$A$2:$A$11,0))</f>
        <v>650000</v>
      </c>
      <c r="L612" s="8">
        <f t="shared" si="39"/>
        <v>650000</v>
      </c>
      <c r="M612" s="8">
        <f>INDEX(Master_Target!$B$2:$M$4, MATCH(J612, Master_Target!$A$2:$A$4, 0), MATCH(TEXT(B612, "[$-421]mmmm"), Master_Target!$B$1:$M$1, 0))</f>
        <v>34000000</v>
      </c>
    </row>
    <row r="613" spans="1:13" x14ac:dyDescent="0.25">
      <c r="A613" s="7" t="s">
        <v>622</v>
      </c>
      <c r="B613" s="11" t="s">
        <v>1216</v>
      </c>
      <c r="C613" s="7">
        <f t="shared" si="36"/>
        <v>8</v>
      </c>
      <c r="D613" s="7" t="str">
        <f t="shared" si="37"/>
        <v>Aug</v>
      </c>
      <c r="E613" s="7" t="s">
        <v>1355</v>
      </c>
      <c r="F613" s="7" t="str">
        <f t="shared" si="38"/>
        <v>Bambang H.</v>
      </c>
      <c r="G613" s="7" t="s">
        <v>1358</v>
      </c>
      <c r="H613" s="7" t="s">
        <v>1367</v>
      </c>
      <c r="I613" s="7">
        <v>4</v>
      </c>
      <c r="J613" s="7" t="str">
        <f>INDEX(Master_Produk!$C$2:$C$11,MATCH(H613,Master_Produk!$A$2:$A$11,0))</f>
        <v>Elektronik</v>
      </c>
      <c r="K613" s="8">
        <f>INDEX(Master_Produk!$E$2:$E$11,MATCH(Data_Transaksi!H613,Master_Produk!$A$2:$A$11,0))</f>
        <v>250000</v>
      </c>
      <c r="L613" s="8">
        <f t="shared" si="39"/>
        <v>1000000</v>
      </c>
      <c r="M613" s="8">
        <f>INDEX(Master_Target!$B$2:$M$4, MATCH(J613, Master_Target!$A$2:$A$4, 0), MATCH(TEXT(B613, "[$-421]mmmm"), Master_Target!$B$1:$M$1, 0))</f>
        <v>85000000</v>
      </c>
    </row>
    <row r="614" spans="1:13" x14ac:dyDescent="0.25">
      <c r="A614" s="7" t="s">
        <v>623</v>
      </c>
      <c r="B614" s="11" t="s">
        <v>1216</v>
      </c>
      <c r="C614" s="7">
        <f t="shared" si="36"/>
        <v>8</v>
      </c>
      <c r="D614" s="7" t="str">
        <f t="shared" si="37"/>
        <v>Aug</v>
      </c>
      <c r="E614" s="7" t="s">
        <v>1351</v>
      </c>
      <c r="F614" s="7" t="str">
        <f t="shared" si="38"/>
        <v>Siti Rahma</v>
      </c>
      <c r="G614" s="7" t="s">
        <v>1361</v>
      </c>
      <c r="H614" s="7" t="s">
        <v>1370</v>
      </c>
      <c r="I614" s="7">
        <v>2</v>
      </c>
      <c r="J614" s="7" t="str">
        <f>INDEX(Master_Produk!$C$2:$C$11,MATCH(H614,Master_Produk!$A$2:$A$11,0))</f>
        <v>Furnitur</v>
      </c>
      <c r="K614" s="8">
        <f>INDEX(Master_Produk!$E$2:$E$11,MATCH(Data_Transaksi!H614,Master_Produk!$A$2:$A$11,0))</f>
        <v>1200000</v>
      </c>
      <c r="L614" s="8">
        <f t="shared" si="39"/>
        <v>2400000</v>
      </c>
      <c r="M614" s="8">
        <f>INDEX(Master_Target!$B$2:$M$4, MATCH(J614, Master_Target!$A$2:$A$4, 0), MATCH(TEXT(B614, "[$-421]mmmm"), Master_Target!$B$1:$M$1, 0))</f>
        <v>34000000</v>
      </c>
    </row>
    <row r="615" spans="1:13" x14ac:dyDescent="0.25">
      <c r="A615" s="7" t="s">
        <v>624</v>
      </c>
      <c r="B615" s="11" t="s">
        <v>1217</v>
      </c>
      <c r="C615" s="7">
        <f t="shared" si="36"/>
        <v>8</v>
      </c>
      <c r="D615" s="7" t="str">
        <f t="shared" si="37"/>
        <v>Aug</v>
      </c>
      <c r="E615" s="7" t="s">
        <v>1353</v>
      </c>
      <c r="F615" s="7" t="str">
        <f t="shared" si="38"/>
        <v>Sari Yuliana</v>
      </c>
      <c r="G615" s="7" t="s">
        <v>1357</v>
      </c>
      <c r="H615" s="7" t="s">
        <v>1368</v>
      </c>
      <c r="I615" s="7">
        <v>3</v>
      </c>
      <c r="J615" s="7" t="str">
        <f>INDEX(Master_Produk!$C$2:$C$11,MATCH(H615,Master_Produk!$A$2:$A$11,0))</f>
        <v>Furnitur</v>
      </c>
      <c r="K615" s="8">
        <f>INDEX(Master_Produk!$E$2:$E$11,MATCH(Data_Transaksi!H615,Master_Produk!$A$2:$A$11,0))</f>
        <v>650000</v>
      </c>
      <c r="L615" s="8">
        <f t="shared" si="39"/>
        <v>1950000</v>
      </c>
      <c r="M615" s="8">
        <f>INDEX(Master_Target!$B$2:$M$4, MATCH(J615, Master_Target!$A$2:$A$4, 0), MATCH(TEXT(B615, "[$-421]mmmm"), Master_Target!$B$1:$M$1, 0))</f>
        <v>34000000</v>
      </c>
    </row>
    <row r="616" spans="1:13" x14ac:dyDescent="0.25">
      <c r="A616" s="7" t="s">
        <v>625</v>
      </c>
      <c r="B616" s="11" t="s">
        <v>1217</v>
      </c>
      <c r="C616" s="7">
        <f t="shared" si="36"/>
        <v>8</v>
      </c>
      <c r="D616" s="7" t="str">
        <f t="shared" si="37"/>
        <v>Aug</v>
      </c>
      <c r="E616" s="7" t="s">
        <v>1352</v>
      </c>
      <c r="F616" s="7" t="str">
        <f t="shared" si="38"/>
        <v>Ahmad Fauzi</v>
      </c>
      <c r="G616" s="7" t="s">
        <v>1358</v>
      </c>
      <c r="H616" s="7" t="s">
        <v>1366</v>
      </c>
      <c r="I616" s="7">
        <v>2</v>
      </c>
      <c r="J616" s="7" t="str">
        <f>INDEX(Master_Produk!$C$2:$C$11,MATCH(H616,Master_Produk!$A$2:$A$11,0))</f>
        <v>Elektronik</v>
      </c>
      <c r="K616" s="8">
        <f>INDEX(Master_Produk!$E$2:$E$11,MATCH(Data_Transaksi!H616,Master_Produk!$A$2:$A$11,0))</f>
        <v>7500000</v>
      </c>
      <c r="L616" s="8">
        <f t="shared" si="39"/>
        <v>15000000</v>
      </c>
      <c r="M616" s="8">
        <f>INDEX(Master_Target!$B$2:$M$4, MATCH(J616, Master_Target!$A$2:$A$4, 0), MATCH(TEXT(B616, "[$-421]mmmm"), Master_Target!$B$1:$M$1, 0))</f>
        <v>85000000</v>
      </c>
    </row>
    <row r="617" spans="1:13" x14ac:dyDescent="0.25">
      <c r="A617" s="7" t="s">
        <v>626</v>
      </c>
      <c r="B617" s="11" t="s">
        <v>1217</v>
      </c>
      <c r="C617" s="7">
        <f t="shared" si="36"/>
        <v>8</v>
      </c>
      <c r="D617" s="7" t="str">
        <f t="shared" si="37"/>
        <v>Aug</v>
      </c>
      <c r="E617" s="7" t="s">
        <v>1348</v>
      </c>
      <c r="F617" s="7" t="str">
        <f t="shared" si="38"/>
        <v>Budi Santoso</v>
      </c>
      <c r="G617" s="7" t="s">
        <v>1359</v>
      </c>
      <c r="H617" s="7" t="s">
        <v>1368</v>
      </c>
      <c r="I617" s="7">
        <v>2</v>
      </c>
      <c r="J617" s="7" t="str">
        <f>INDEX(Master_Produk!$C$2:$C$11,MATCH(H617,Master_Produk!$A$2:$A$11,0))</f>
        <v>Furnitur</v>
      </c>
      <c r="K617" s="8">
        <f>INDEX(Master_Produk!$E$2:$E$11,MATCH(Data_Transaksi!H617,Master_Produk!$A$2:$A$11,0))</f>
        <v>650000</v>
      </c>
      <c r="L617" s="8">
        <f t="shared" si="39"/>
        <v>1300000</v>
      </c>
      <c r="M617" s="8">
        <f>INDEX(Master_Target!$B$2:$M$4, MATCH(J617, Master_Target!$A$2:$A$4, 0), MATCH(TEXT(B617, "[$-421]mmmm"), Master_Target!$B$1:$M$1, 0))</f>
        <v>34000000</v>
      </c>
    </row>
    <row r="618" spans="1:13" x14ac:dyDescent="0.25">
      <c r="A618" s="7" t="s">
        <v>627</v>
      </c>
      <c r="B618" s="11" t="s">
        <v>1217</v>
      </c>
      <c r="C618" s="7">
        <f t="shared" si="36"/>
        <v>8</v>
      </c>
      <c r="D618" s="7" t="str">
        <f t="shared" si="37"/>
        <v>Aug</v>
      </c>
      <c r="E618" s="7" t="s">
        <v>1354</v>
      </c>
      <c r="F618" s="7" t="str">
        <f t="shared" si="38"/>
        <v>Mega Utami</v>
      </c>
      <c r="G618" s="7" t="s">
        <v>1357</v>
      </c>
      <c r="H618" s="7" t="s">
        <v>1366</v>
      </c>
      <c r="I618" s="7">
        <v>2</v>
      </c>
      <c r="J618" s="7" t="str">
        <f>INDEX(Master_Produk!$C$2:$C$11,MATCH(H618,Master_Produk!$A$2:$A$11,0))</f>
        <v>Elektronik</v>
      </c>
      <c r="K618" s="8">
        <f>INDEX(Master_Produk!$E$2:$E$11,MATCH(Data_Transaksi!H618,Master_Produk!$A$2:$A$11,0))</f>
        <v>7500000</v>
      </c>
      <c r="L618" s="8">
        <f t="shared" si="39"/>
        <v>15000000</v>
      </c>
      <c r="M618" s="8">
        <f>INDEX(Master_Target!$B$2:$M$4, MATCH(J618, Master_Target!$A$2:$A$4, 0), MATCH(TEXT(B618, "[$-421]mmmm"), Master_Target!$B$1:$M$1, 0))</f>
        <v>85000000</v>
      </c>
    </row>
    <row r="619" spans="1:13" x14ac:dyDescent="0.25">
      <c r="A619" s="7" t="s">
        <v>628</v>
      </c>
      <c r="B619" s="11" t="s">
        <v>1218</v>
      </c>
      <c r="C619" s="7">
        <f t="shared" si="36"/>
        <v>8</v>
      </c>
      <c r="D619" s="7" t="str">
        <f t="shared" si="37"/>
        <v>Aug</v>
      </c>
      <c r="E619" s="7" t="s">
        <v>1353</v>
      </c>
      <c r="F619" s="7" t="str">
        <f t="shared" si="38"/>
        <v>Sari Yuliana</v>
      </c>
      <c r="G619" s="7" t="s">
        <v>1360</v>
      </c>
      <c r="H619" s="7" t="s">
        <v>1369</v>
      </c>
      <c r="I619" s="7">
        <v>3</v>
      </c>
      <c r="J619" s="7" t="str">
        <f>INDEX(Master_Produk!$C$2:$C$11,MATCH(H619,Master_Produk!$A$2:$A$11,0))</f>
        <v>Elektronik</v>
      </c>
      <c r="K619" s="8">
        <f>INDEX(Master_Produk!$E$2:$E$11,MATCH(Data_Transaksi!H619,Master_Produk!$A$2:$A$11,0))</f>
        <v>4500000</v>
      </c>
      <c r="L619" s="8">
        <f t="shared" si="39"/>
        <v>13500000</v>
      </c>
      <c r="M619" s="8">
        <f>INDEX(Master_Target!$B$2:$M$4, MATCH(J619, Master_Target!$A$2:$A$4, 0), MATCH(TEXT(B619, "[$-421]mmmm"), Master_Target!$B$1:$M$1, 0))</f>
        <v>85000000</v>
      </c>
    </row>
    <row r="620" spans="1:13" x14ac:dyDescent="0.25">
      <c r="A620" s="7" t="s">
        <v>629</v>
      </c>
      <c r="B620" s="11" t="s">
        <v>1218</v>
      </c>
      <c r="C620" s="7">
        <f t="shared" si="36"/>
        <v>8</v>
      </c>
      <c r="D620" s="7" t="str">
        <f t="shared" si="37"/>
        <v>Aug</v>
      </c>
      <c r="E620" s="7" t="s">
        <v>1353</v>
      </c>
      <c r="F620" s="7" t="str">
        <f t="shared" si="38"/>
        <v>Sari Yuliana</v>
      </c>
      <c r="G620" s="7" t="s">
        <v>1358</v>
      </c>
      <c r="H620" s="7" t="s">
        <v>1366</v>
      </c>
      <c r="I620" s="7">
        <v>1</v>
      </c>
      <c r="J620" s="7" t="str">
        <f>INDEX(Master_Produk!$C$2:$C$11,MATCH(H620,Master_Produk!$A$2:$A$11,0))</f>
        <v>Elektronik</v>
      </c>
      <c r="K620" s="8">
        <f>INDEX(Master_Produk!$E$2:$E$11,MATCH(Data_Transaksi!H620,Master_Produk!$A$2:$A$11,0))</f>
        <v>7500000</v>
      </c>
      <c r="L620" s="8">
        <f t="shared" si="39"/>
        <v>7500000</v>
      </c>
      <c r="M620" s="8">
        <f>INDEX(Master_Target!$B$2:$M$4, MATCH(J620, Master_Target!$A$2:$A$4, 0), MATCH(TEXT(B620, "[$-421]mmmm"), Master_Target!$B$1:$M$1, 0))</f>
        <v>85000000</v>
      </c>
    </row>
    <row r="621" spans="1:13" x14ac:dyDescent="0.25">
      <c r="A621" s="7" t="s">
        <v>630</v>
      </c>
      <c r="B621" s="11" t="s">
        <v>1218</v>
      </c>
      <c r="C621" s="7">
        <f t="shared" si="36"/>
        <v>8</v>
      </c>
      <c r="D621" s="7" t="str">
        <f t="shared" si="37"/>
        <v>Aug</v>
      </c>
      <c r="E621" s="7" t="s">
        <v>1348</v>
      </c>
      <c r="F621" s="7" t="str">
        <f t="shared" si="38"/>
        <v>Budi Santoso</v>
      </c>
      <c r="G621" s="7" t="s">
        <v>1361</v>
      </c>
      <c r="H621" s="7" t="s">
        <v>1366</v>
      </c>
      <c r="I621" s="7">
        <v>1</v>
      </c>
      <c r="J621" s="7" t="str">
        <f>INDEX(Master_Produk!$C$2:$C$11,MATCH(H621,Master_Produk!$A$2:$A$11,0))</f>
        <v>Elektronik</v>
      </c>
      <c r="K621" s="8">
        <f>INDEX(Master_Produk!$E$2:$E$11,MATCH(Data_Transaksi!H621,Master_Produk!$A$2:$A$11,0))</f>
        <v>7500000</v>
      </c>
      <c r="L621" s="8">
        <f t="shared" si="39"/>
        <v>7500000</v>
      </c>
      <c r="M621" s="8">
        <f>INDEX(Master_Target!$B$2:$M$4, MATCH(J621, Master_Target!$A$2:$A$4, 0), MATCH(TEXT(B621, "[$-421]mmmm"), Master_Target!$B$1:$M$1, 0))</f>
        <v>85000000</v>
      </c>
    </row>
    <row r="622" spans="1:13" x14ac:dyDescent="0.25">
      <c r="A622" s="7" t="s">
        <v>631</v>
      </c>
      <c r="B622" s="11" t="s">
        <v>1218</v>
      </c>
      <c r="C622" s="7">
        <f t="shared" si="36"/>
        <v>8</v>
      </c>
      <c r="D622" s="7" t="str">
        <f t="shared" si="37"/>
        <v>Aug</v>
      </c>
      <c r="E622" s="7" t="s">
        <v>1347</v>
      </c>
      <c r="F622" s="7" t="str">
        <f t="shared" si="38"/>
        <v>Rina Marlina</v>
      </c>
      <c r="G622" s="7" t="s">
        <v>1359</v>
      </c>
      <c r="H622" s="7" t="s">
        <v>1365</v>
      </c>
      <c r="I622" s="7">
        <v>1</v>
      </c>
      <c r="J622" s="7" t="str">
        <f>INDEX(Master_Produk!$C$2:$C$11,MATCH(H622,Master_Produk!$A$2:$A$11,0))</f>
        <v>Elektronik</v>
      </c>
      <c r="K622" s="8">
        <f>INDEX(Master_Produk!$E$2:$E$11,MATCH(Data_Transaksi!H622,Master_Produk!$A$2:$A$11,0))</f>
        <v>1800000</v>
      </c>
      <c r="L622" s="8">
        <f t="shared" si="39"/>
        <v>1800000</v>
      </c>
      <c r="M622" s="8">
        <f>INDEX(Master_Target!$B$2:$M$4, MATCH(J622, Master_Target!$A$2:$A$4, 0), MATCH(TEXT(B622, "[$-421]mmmm"), Master_Target!$B$1:$M$1, 0))</f>
        <v>85000000</v>
      </c>
    </row>
    <row r="623" spans="1:13" x14ac:dyDescent="0.25">
      <c r="A623" s="7" t="s">
        <v>632</v>
      </c>
      <c r="B623" s="11" t="s">
        <v>1219</v>
      </c>
      <c r="C623" s="7">
        <f t="shared" si="36"/>
        <v>8</v>
      </c>
      <c r="D623" s="7" t="str">
        <f t="shared" si="37"/>
        <v>Aug</v>
      </c>
      <c r="E623" s="7" t="s">
        <v>1354</v>
      </c>
      <c r="F623" s="7" t="str">
        <f t="shared" si="38"/>
        <v>Mega Utami</v>
      </c>
      <c r="G623" s="7" t="s">
        <v>1358</v>
      </c>
      <c r="H623" s="7" t="s">
        <v>1370</v>
      </c>
      <c r="I623" s="7">
        <v>1</v>
      </c>
      <c r="J623" s="7" t="str">
        <f>INDEX(Master_Produk!$C$2:$C$11,MATCH(H623,Master_Produk!$A$2:$A$11,0))</f>
        <v>Furnitur</v>
      </c>
      <c r="K623" s="8">
        <f>INDEX(Master_Produk!$E$2:$E$11,MATCH(Data_Transaksi!H623,Master_Produk!$A$2:$A$11,0))</f>
        <v>1200000</v>
      </c>
      <c r="L623" s="8">
        <f t="shared" si="39"/>
        <v>1200000</v>
      </c>
      <c r="M623" s="8">
        <f>INDEX(Master_Target!$B$2:$M$4, MATCH(J623, Master_Target!$A$2:$A$4, 0), MATCH(TEXT(B623, "[$-421]mmmm"), Master_Target!$B$1:$M$1, 0))</f>
        <v>34000000</v>
      </c>
    </row>
    <row r="624" spans="1:13" x14ac:dyDescent="0.25">
      <c r="A624" s="7" t="s">
        <v>633</v>
      </c>
      <c r="B624" s="11" t="s">
        <v>1219</v>
      </c>
      <c r="C624" s="7">
        <f t="shared" si="36"/>
        <v>8</v>
      </c>
      <c r="D624" s="7" t="str">
        <f t="shared" si="37"/>
        <v>Aug</v>
      </c>
      <c r="E624" s="7" t="s">
        <v>1351</v>
      </c>
      <c r="F624" s="7" t="str">
        <f t="shared" si="38"/>
        <v>Siti Rahma</v>
      </c>
      <c r="G624" s="7" t="s">
        <v>1357</v>
      </c>
      <c r="H624" s="7" t="s">
        <v>1364</v>
      </c>
      <c r="I624" s="7">
        <v>4</v>
      </c>
      <c r="J624" s="7" t="str">
        <f>INDEX(Master_Produk!$C$2:$C$11,MATCH(H624,Master_Produk!$A$2:$A$11,0))</f>
        <v>Furnitur</v>
      </c>
      <c r="K624" s="8">
        <f>INDEX(Master_Produk!$E$2:$E$11,MATCH(Data_Transaksi!H624,Master_Produk!$A$2:$A$11,0))</f>
        <v>950000</v>
      </c>
      <c r="L624" s="8">
        <f t="shared" si="39"/>
        <v>3800000</v>
      </c>
      <c r="M624" s="8">
        <f>INDEX(Master_Target!$B$2:$M$4, MATCH(J624, Master_Target!$A$2:$A$4, 0), MATCH(TEXT(B624, "[$-421]mmmm"), Master_Target!$B$1:$M$1, 0))</f>
        <v>34000000</v>
      </c>
    </row>
    <row r="625" spans="1:13" x14ac:dyDescent="0.25">
      <c r="A625" s="7" t="s">
        <v>634</v>
      </c>
      <c r="B625" s="11" t="s">
        <v>1219</v>
      </c>
      <c r="C625" s="7">
        <f t="shared" si="36"/>
        <v>8</v>
      </c>
      <c r="D625" s="7" t="str">
        <f t="shared" si="37"/>
        <v>Aug</v>
      </c>
      <c r="E625" s="7" t="s">
        <v>1355</v>
      </c>
      <c r="F625" s="7" t="str">
        <f t="shared" si="38"/>
        <v>Bambang H.</v>
      </c>
      <c r="G625" s="7" t="s">
        <v>1361</v>
      </c>
      <c r="H625" s="7" t="s">
        <v>1369</v>
      </c>
      <c r="I625" s="7">
        <v>1</v>
      </c>
      <c r="J625" s="7" t="str">
        <f>INDEX(Master_Produk!$C$2:$C$11,MATCH(H625,Master_Produk!$A$2:$A$11,0))</f>
        <v>Elektronik</v>
      </c>
      <c r="K625" s="8">
        <f>INDEX(Master_Produk!$E$2:$E$11,MATCH(Data_Transaksi!H625,Master_Produk!$A$2:$A$11,0))</f>
        <v>4500000</v>
      </c>
      <c r="L625" s="8">
        <f t="shared" si="39"/>
        <v>4500000</v>
      </c>
      <c r="M625" s="8">
        <f>INDEX(Master_Target!$B$2:$M$4, MATCH(J625, Master_Target!$A$2:$A$4, 0), MATCH(TEXT(B625, "[$-421]mmmm"), Master_Target!$B$1:$M$1, 0))</f>
        <v>85000000</v>
      </c>
    </row>
    <row r="626" spans="1:13" x14ac:dyDescent="0.25">
      <c r="A626" s="7" t="s">
        <v>635</v>
      </c>
      <c r="B626" s="11" t="s">
        <v>1220</v>
      </c>
      <c r="C626" s="7">
        <f t="shared" si="36"/>
        <v>8</v>
      </c>
      <c r="D626" s="7" t="str">
        <f t="shared" si="37"/>
        <v>Aug</v>
      </c>
      <c r="E626" s="7" t="s">
        <v>1351</v>
      </c>
      <c r="F626" s="7" t="str">
        <f t="shared" si="38"/>
        <v>Siti Rahma</v>
      </c>
      <c r="G626" s="7" t="s">
        <v>1357</v>
      </c>
      <c r="H626" s="7" t="s">
        <v>1370</v>
      </c>
      <c r="I626" s="7">
        <v>5</v>
      </c>
      <c r="J626" s="7" t="str">
        <f>INDEX(Master_Produk!$C$2:$C$11,MATCH(H626,Master_Produk!$A$2:$A$11,0))</f>
        <v>Furnitur</v>
      </c>
      <c r="K626" s="8">
        <f>INDEX(Master_Produk!$E$2:$E$11,MATCH(Data_Transaksi!H626,Master_Produk!$A$2:$A$11,0))</f>
        <v>1200000</v>
      </c>
      <c r="L626" s="8">
        <f t="shared" si="39"/>
        <v>6000000</v>
      </c>
      <c r="M626" s="8">
        <f>INDEX(Master_Target!$B$2:$M$4, MATCH(J626, Master_Target!$A$2:$A$4, 0), MATCH(TEXT(B626, "[$-421]mmmm"), Master_Target!$B$1:$M$1, 0))</f>
        <v>34000000</v>
      </c>
    </row>
    <row r="627" spans="1:13" x14ac:dyDescent="0.25">
      <c r="A627" s="7" t="s">
        <v>636</v>
      </c>
      <c r="B627" s="11" t="s">
        <v>1220</v>
      </c>
      <c r="C627" s="7">
        <f t="shared" si="36"/>
        <v>8</v>
      </c>
      <c r="D627" s="7" t="str">
        <f t="shared" si="37"/>
        <v>Aug</v>
      </c>
      <c r="E627" s="7" t="s">
        <v>1348</v>
      </c>
      <c r="F627" s="7" t="str">
        <f t="shared" si="38"/>
        <v>Budi Santoso</v>
      </c>
      <c r="G627" s="7" t="s">
        <v>1357</v>
      </c>
      <c r="H627" s="7" t="s">
        <v>1366</v>
      </c>
      <c r="I627" s="7">
        <v>1</v>
      </c>
      <c r="J627" s="7" t="str">
        <f>INDEX(Master_Produk!$C$2:$C$11,MATCH(H627,Master_Produk!$A$2:$A$11,0))</f>
        <v>Elektronik</v>
      </c>
      <c r="K627" s="8">
        <f>INDEX(Master_Produk!$E$2:$E$11,MATCH(Data_Transaksi!H627,Master_Produk!$A$2:$A$11,0))</f>
        <v>7500000</v>
      </c>
      <c r="L627" s="8">
        <f t="shared" si="39"/>
        <v>7500000</v>
      </c>
      <c r="M627" s="8">
        <f>INDEX(Master_Target!$B$2:$M$4, MATCH(J627, Master_Target!$A$2:$A$4, 0), MATCH(TEXT(B627, "[$-421]mmmm"), Master_Target!$B$1:$M$1, 0))</f>
        <v>85000000</v>
      </c>
    </row>
    <row r="628" spans="1:13" x14ac:dyDescent="0.25">
      <c r="A628" s="7" t="s">
        <v>637</v>
      </c>
      <c r="B628" s="11" t="s">
        <v>1220</v>
      </c>
      <c r="C628" s="7">
        <f t="shared" si="36"/>
        <v>8</v>
      </c>
      <c r="D628" s="7" t="str">
        <f t="shared" si="37"/>
        <v>Aug</v>
      </c>
      <c r="E628" s="7" t="s">
        <v>1349</v>
      </c>
      <c r="F628" s="7" t="str">
        <f t="shared" si="38"/>
        <v>Dewi Lestari</v>
      </c>
      <c r="G628" s="7" t="s">
        <v>1360</v>
      </c>
      <c r="H628" s="7" t="s">
        <v>1364</v>
      </c>
      <c r="I628" s="7">
        <v>1</v>
      </c>
      <c r="J628" s="7" t="str">
        <f>INDEX(Master_Produk!$C$2:$C$11,MATCH(H628,Master_Produk!$A$2:$A$11,0))</f>
        <v>Furnitur</v>
      </c>
      <c r="K628" s="8">
        <f>INDEX(Master_Produk!$E$2:$E$11,MATCH(Data_Transaksi!H628,Master_Produk!$A$2:$A$11,0))</f>
        <v>950000</v>
      </c>
      <c r="L628" s="8">
        <f t="shared" si="39"/>
        <v>950000</v>
      </c>
      <c r="M628" s="8">
        <f>INDEX(Master_Target!$B$2:$M$4, MATCH(J628, Master_Target!$A$2:$A$4, 0), MATCH(TEXT(B628, "[$-421]mmmm"), Master_Target!$B$1:$M$1, 0))</f>
        <v>34000000</v>
      </c>
    </row>
    <row r="629" spans="1:13" x14ac:dyDescent="0.25">
      <c r="A629" s="7" t="s">
        <v>638</v>
      </c>
      <c r="B629" s="11" t="s">
        <v>1220</v>
      </c>
      <c r="C629" s="7">
        <f t="shared" si="36"/>
        <v>8</v>
      </c>
      <c r="D629" s="7" t="str">
        <f t="shared" si="37"/>
        <v>Aug</v>
      </c>
      <c r="E629" s="7" t="s">
        <v>1354</v>
      </c>
      <c r="F629" s="7" t="str">
        <f t="shared" si="38"/>
        <v>Mega Utami</v>
      </c>
      <c r="G629" s="7" t="s">
        <v>1360</v>
      </c>
      <c r="H629" s="7" t="s">
        <v>1368</v>
      </c>
      <c r="I629" s="7">
        <v>3</v>
      </c>
      <c r="J629" s="7" t="str">
        <f>INDEX(Master_Produk!$C$2:$C$11,MATCH(H629,Master_Produk!$A$2:$A$11,0))</f>
        <v>Furnitur</v>
      </c>
      <c r="K629" s="8">
        <f>INDEX(Master_Produk!$E$2:$E$11,MATCH(Data_Transaksi!H629,Master_Produk!$A$2:$A$11,0))</f>
        <v>650000</v>
      </c>
      <c r="L629" s="8">
        <f t="shared" si="39"/>
        <v>1950000</v>
      </c>
      <c r="M629" s="8">
        <f>INDEX(Master_Target!$B$2:$M$4, MATCH(J629, Master_Target!$A$2:$A$4, 0), MATCH(TEXT(B629, "[$-421]mmmm"), Master_Target!$B$1:$M$1, 0))</f>
        <v>34000000</v>
      </c>
    </row>
    <row r="630" spans="1:13" x14ac:dyDescent="0.25">
      <c r="A630" s="7" t="s">
        <v>639</v>
      </c>
      <c r="B630" s="11" t="s">
        <v>1220</v>
      </c>
      <c r="C630" s="7">
        <f t="shared" si="36"/>
        <v>8</v>
      </c>
      <c r="D630" s="7" t="str">
        <f t="shared" si="37"/>
        <v>Aug</v>
      </c>
      <c r="E630" s="7" t="s">
        <v>1356</v>
      </c>
      <c r="F630" s="7" t="str">
        <f t="shared" si="38"/>
        <v>Eko Prasetyo</v>
      </c>
      <c r="G630" s="7" t="s">
        <v>1357</v>
      </c>
      <c r="H630" s="7" t="s">
        <v>1367</v>
      </c>
      <c r="I630" s="7">
        <v>2</v>
      </c>
      <c r="J630" s="7" t="str">
        <f>INDEX(Master_Produk!$C$2:$C$11,MATCH(H630,Master_Produk!$A$2:$A$11,0))</f>
        <v>Elektronik</v>
      </c>
      <c r="K630" s="8">
        <f>INDEX(Master_Produk!$E$2:$E$11,MATCH(Data_Transaksi!H630,Master_Produk!$A$2:$A$11,0))</f>
        <v>250000</v>
      </c>
      <c r="L630" s="8">
        <f t="shared" si="39"/>
        <v>500000</v>
      </c>
      <c r="M630" s="8">
        <f>INDEX(Master_Target!$B$2:$M$4, MATCH(J630, Master_Target!$A$2:$A$4, 0), MATCH(TEXT(B630, "[$-421]mmmm"), Master_Target!$B$1:$M$1, 0))</f>
        <v>85000000</v>
      </c>
    </row>
    <row r="631" spans="1:13" x14ac:dyDescent="0.25">
      <c r="A631" s="7" t="s">
        <v>640</v>
      </c>
      <c r="B631" s="11" t="s">
        <v>1221</v>
      </c>
      <c r="C631" s="7">
        <f t="shared" si="36"/>
        <v>8</v>
      </c>
      <c r="D631" s="7" t="str">
        <f t="shared" si="37"/>
        <v>Aug</v>
      </c>
      <c r="E631" s="7" t="s">
        <v>1350</v>
      </c>
      <c r="F631" s="7" t="str">
        <f t="shared" si="38"/>
        <v>Andi Wijaya</v>
      </c>
      <c r="G631" s="7" t="s">
        <v>1359</v>
      </c>
      <c r="H631" s="7" t="s">
        <v>1371</v>
      </c>
      <c r="I631" s="7">
        <v>2</v>
      </c>
      <c r="J631" s="7" t="str">
        <f>INDEX(Master_Produk!$C$2:$C$11,MATCH(H631,Master_Produk!$A$2:$A$11,0))</f>
        <v>Pakaian</v>
      </c>
      <c r="K631" s="8">
        <f>INDEX(Master_Produk!$E$2:$E$11,MATCH(Data_Transaksi!H631,Master_Produk!$A$2:$A$11,0))</f>
        <v>280000</v>
      </c>
      <c r="L631" s="8">
        <f t="shared" si="39"/>
        <v>560000</v>
      </c>
      <c r="M631" s="8">
        <f>INDEX(Master_Target!$B$2:$M$4, MATCH(J631, Master_Target!$A$2:$A$4, 0), MATCH(TEXT(B631, "[$-421]mmmm"), Master_Target!$B$1:$M$1, 0))</f>
        <v>25500000</v>
      </c>
    </row>
    <row r="632" spans="1:13" x14ac:dyDescent="0.25">
      <c r="A632" s="7" t="s">
        <v>641</v>
      </c>
      <c r="B632" s="11" t="s">
        <v>1221</v>
      </c>
      <c r="C632" s="7">
        <f t="shared" si="36"/>
        <v>8</v>
      </c>
      <c r="D632" s="7" t="str">
        <f t="shared" si="37"/>
        <v>Aug</v>
      </c>
      <c r="E632" s="7" t="s">
        <v>1355</v>
      </c>
      <c r="F632" s="7" t="str">
        <f t="shared" si="38"/>
        <v>Bambang H.</v>
      </c>
      <c r="G632" s="7" t="s">
        <v>1360</v>
      </c>
      <c r="H632" s="7" t="s">
        <v>1366</v>
      </c>
      <c r="I632" s="7">
        <v>2</v>
      </c>
      <c r="J632" s="7" t="str">
        <f>INDEX(Master_Produk!$C$2:$C$11,MATCH(H632,Master_Produk!$A$2:$A$11,0))</f>
        <v>Elektronik</v>
      </c>
      <c r="K632" s="8">
        <f>INDEX(Master_Produk!$E$2:$E$11,MATCH(Data_Transaksi!H632,Master_Produk!$A$2:$A$11,0))</f>
        <v>7500000</v>
      </c>
      <c r="L632" s="8">
        <f t="shared" si="39"/>
        <v>15000000</v>
      </c>
      <c r="M632" s="8">
        <f>INDEX(Master_Target!$B$2:$M$4, MATCH(J632, Master_Target!$A$2:$A$4, 0), MATCH(TEXT(B632, "[$-421]mmmm"), Master_Target!$B$1:$M$1, 0))</f>
        <v>85000000</v>
      </c>
    </row>
    <row r="633" spans="1:13" x14ac:dyDescent="0.25">
      <c r="A633" s="7" t="s">
        <v>642</v>
      </c>
      <c r="B633" s="11" t="s">
        <v>1222</v>
      </c>
      <c r="C633" s="7">
        <f t="shared" si="36"/>
        <v>8</v>
      </c>
      <c r="D633" s="7" t="str">
        <f t="shared" si="37"/>
        <v>Aug</v>
      </c>
      <c r="E633" s="7" t="s">
        <v>1356</v>
      </c>
      <c r="F633" s="7" t="str">
        <f t="shared" si="38"/>
        <v>Eko Prasetyo</v>
      </c>
      <c r="G633" s="7" t="s">
        <v>1360</v>
      </c>
      <c r="H633" s="7" t="s">
        <v>1362</v>
      </c>
      <c r="I633" s="7">
        <v>3</v>
      </c>
      <c r="J633" s="7" t="str">
        <f>INDEX(Master_Produk!$C$2:$C$11,MATCH(H633,Master_Produk!$A$2:$A$11,0))</f>
        <v>Pakaian</v>
      </c>
      <c r="K633" s="8">
        <f>INDEX(Master_Produk!$E$2:$E$11,MATCH(Data_Transaksi!H633,Master_Produk!$A$2:$A$11,0))</f>
        <v>350000</v>
      </c>
      <c r="L633" s="8">
        <f t="shared" si="39"/>
        <v>1050000</v>
      </c>
      <c r="M633" s="8">
        <f>INDEX(Master_Target!$B$2:$M$4, MATCH(J633, Master_Target!$A$2:$A$4, 0), MATCH(TEXT(B633, "[$-421]mmmm"), Master_Target!$B$1:$M$1, 0))</f>
        <v>25500000</v>
      </c>
    </row>
    <row r="634" spans="1:13" x14ac:dyDescent="0.25">
      <c r="A634" s="7" t="s">
        <v>643</v>
      </c>
      <c r="B634" s="11" t="s">
        <v>1222</v>
      </c>
      <c r="C634" s="7">
        <f t="shared" si="36"/>
        <v>8</v>
      </c>
      <c r="D634" s="7" t="str">
        <f t="shared" si="37"/>
        <v>Aug</v>
      </c>
      <c r="E634" s="7" t="s">
        <v>1356</v>
      </c>
      <c r="F634" s="7" t="str">
        <f t="shared" si="38"/>
        <v>Eko Prasetyo</v>
      </c>
      <c r="G634" s="7" t="s">
        <v>1360</v>
      </c>
      <c r="H634" s="7" t="s">
        <v>1362</v>
      </c>
      <c r="I634" s="7">
        <v>1</v>
      </c>
      <c r="J634" s="7" t="str">
        <f>INDEX(Master_Produk!$C$2:$C$11,MATCH(H634,Master_Produk!$A$2:$A$11,0))</f>
        <v>Pakaian</v>
      </c>
      <c r="K634" s="8">
        <f>INDEX(Master_Produk!$E$2:$E$11,MATCH(Data_Transaksi!H634,Master_Produk!$A$2:$A$11,0))</f>
        <v>350000</v>
      </c>
      <c r="L634" s="8">
        <f t="shared" si="39"/>
        <v>350000</v>
      </c>
      <c r="M634" s="8">
        <f>INDEX(Master_Target!$B$2:$M$4, MATCH(J634, Master_Target!$A$2:$A$4, 0), MATCH(TEXT(B634, "[$-421]mmmm"), Master_Target!$B$1:$M$1, 0))</f>
        <v>25500000</v>
      </c>
    </row>
    <row r="635" spans="1:13" x14ac:dyDescent="0.25">
      <c r="A635" s="7" t="s">
        <v>644</v>
      </c>
      <c r="B635" s="11" t="s">
        <v>1222</v>
      </c>
      <c r="C635" s="7">
        <f t="shared" si="36"/>
        <v>8</v>
      </c>
      <c r="D635" s="7" t="str">
        <f t="shared" si="37"/>
        <v>Aug</v>
      </c>
      <c r="E635" s="7" t="s">
        <v>1354</v>
      </c>
      <c r="F635" s="7" t="str">
        <f t="shared" si="38"/>
        <v>Mega Utami</v>
      </c>
      <c r="G635" s="7" t="s">
        <v>1360</v>
      </c>
      <c r="H635" s="7" t="s">
        <v>1367</v>
      </c>
      <c r="I635" s="7">
        <v>10</v>
      </c>
      <c r="J635" s="7" t="str">
        <f>INDEX(Master_Produk!$C$2:$C$11,MATCH(H635,Master_Produk!$A$2:$A$11,0))</f>
        <v>Elektronik</v>
      </c>
      <c r="K635" s="8">
        <f>INDEX(Master_Produk!$E$2:$E$11,MATCH(Data_Transaksi!H635,Master_Produk!$A$2:$A$11,0))</f>
        <v>250000</v>
      </c>
      <c r="L635" s="8">
        <f t="shared" si="39"/>
        <v>2500000</v>
      </c>
      <c r="M635" s="8">
        <f>INDEX(Master_Target!$B$2:$M$4, MATCH(J635, Master_Target!$A$2:$A$4, 0), MATCH(TEXT(B635, "[$-421]mmmm"), Master_Target!$B$1:$M$1, 0))</f>
        <v>85000000</v>
      </c>
    </row>
    <row r="636" spans="1:13" x14ac:dyDescent="0.25">
      <c r="A636" s="7" t="s">
        <v>645</v>
      </c>
      <c r="B636" s="11" t="s">
        <v>1222</v>
      </c>
      <c r="C636" s="7">
        <f t="shared" si="36"/>
        <v>8</v>
      </c>
      <c r="D636" s="7" t="str">
        <f t="shared" si="37"/>
        <v>Aug</v>
      </c>
      <c r="E636" s="7" t="s">
        <v>1349</v>
      </c>
      <c r="F636" s="7" t="str">
        <f t="shared" si="38"/>
        <v>Dewi Lestari</v>
      </c>
      <c r="G636" s="7" t="s">
        <v>1361</v>
      </c>
      <c r="H636" s="7" t="s">
        <v>1367</v>
      </c>
      <c r="I636" s="7">
        <v>5</v>
      </c>
      <c r="J636" s="7" t="str">
        <f>INDEX(Master_Produk!$C$2:$C$11,MATCH(H636,Master_Produk!$A$2:$A$11,0))</f>
        <v>Elektronik</v>
      </c>
      <c r="K636" s="8">
        <f>INDEX(Master_Produk!$E$2:$E$11,MATCH(Data_Transaksi!H636,Master_Produk!$A$2:$A$11,0))</f>
        <v>250000</v>
      </c>
      <c r="L636" s="8">
        <f t="shared" si="39"/>
        <v>1250000</v>
      </c>
      <c r="M636" s="8">
        <f>INDEX(Master_Target!$B$2:$M$4, MATCH(J636, Master_Target!$A$2:$A$4, 0), MATCH(TEXT(B636, "[$-421]mmmm"), Master_Target!$B$1:$M$1, 0))</f>
        <v>85000000</v>
      </c>
    </row>
    <row r="637" spans="1:13" x14ac:dyDescent="0.25">
      <c r="A637" s="7" t="s">
        <v>646</v>
      </c>
      <c r="B637" s="11" t="s">
        <v>1222</v>
      </c>
      <c r="C637" s="7">
        <f t="shared" si="36"/>
        <v>8</v>
      </c>
      <c r="D637" s="7" t="str">
        <f t="shared" si="37"/>
        <v>Aug</v>
      </c>
      <c r="E637" s="7" t="s">
        <v>1354</v>
      </c>
      <c r="F637" s="7" t="str">
        <f t="shared" si="38"/>
        <v>Mega Utami</v>
      </c>
      <c r="G637" s="7" t="s">
        <v>1357</v>
      </c>
      <c r="H637" s="7" t="s">
        <v>1366</v>
      </c>
      <c r="I637" s="7">
        <v>2</v>
      </c>
      <c r="J637" s="7" t="str">
        <f>INDEX(Master_Produk!$C$2:$C$11,MATCH(H637,Master_Produk!$A$2:$A$11,0))</f>
        <v>Elektronik</v>
      </c>
      <c r="K637" s="8">
        <f>INDEX(Master_Produk!$E$2:$E$11,MATCH(Data_Transaksi!H637,Master_Produk!$A$2:$A$11,0))</f>
        <v>7500000</v>
      </c>
      <c r="L637" s="8">
        <f t="shared" si="39"/>
        <v>15000000</v>
      </c>
      <c r="M637" s="8">
        <f>INDEX(Master_Target!$B$2:$M$4, MATCH(J637, Master_Target!$A$2:$A$4, 0), MATCH(TEXT(B637, "[$-421]mmmm"), Master_Target!$B$1:$M$1, 0))</f>
        <v>85000000</v>
      </c>
    </row>
    <row r="638" spans="1:13" x14ac:dyDescent="0.25">
      <c r="A638" s="7" t="s">
        <v>647</v>
      </c>
      <c r="B638" s="11" t="s">
        <v>1223</v>
      </c>
      <c r="C638" s="7">
        <f t="shared" si="36"/>
        <v>8</v>
      </c>
      <c r="D638" s="7" t="str">
        <f t="shared" si="37"/>
        <v>Aug</v>
      </c>
      <c r="E638" s="7" t="s">
        <v>1349</v>
      </c>
      <c r="F638" s="7" t="str">
        <f t="shared" si="38"/>
        <v>Dewi Lestari</v>
      </c>
      <c r="G638" s="7" t="s">
        <v>1361</v>
      </c>
      <c r="H638" s="7" t="s">
        <v>1366</v>
      </c>
      <c r="I638" s="7">
        <v>1</v>
      </c>
      <c r="J638" s="7" t="str">
        <f>INDEX(Master_Produk!$C$2:$C$11,MATCH(H638,Master_Produk!$A$2:$A$11,0))</f>
        <v>Elektronik</v>
      </c>
      <c r="K638" s="8">
        <f>INDEX(Master_Produk!$E$2:$E$11,MATCH(Data_Transaksi!H638,Master_Produk!$A$2:$A$11,0))</f>
        <v>7500000</v>
      </c>
      <c r="L638" s="8">
        <f t="shared" si="39"/>
        <v>7500000</v>
      </c>
      <c r="M638" s="8">
        <f>INDEX(Master_Target!$B$2:$M$4, MATCH(J638, Master_Target!$A$2:$A$4, 0), MATCH(TEXT(B638, "[$-421]mmmm"), Master_Target!$B$1:$M$1, 0))</f>
        <v>85000000</v>
      </c>
    </row>
    <row r="639" spans="1:13" x14ac:dyDescent="0.25">
      <c r="A639" s="7" t="s">
        <v>648</v>
      </c>
      <c r="B639" s="11" t="s">
        <v>1223</v>
      </c>
      <c r="C639" s="7">
        <f t="shared" si="36"/>
        <v>8</v>
      </c>
      <c r="D639" s="7" t="str">
        <f t="shared" si="37"/>
        <v>Aug</v>
      </c>
      <c r="E639" s="7" t="s">
        <v>1347</v>
      </c>
      <c r="F639" s="7" t="str">
        <f t="shared" si="38"/>
        <v>Rina Marlina</v>
      </c>
      <c r="G639" s="7" t="s">
        <v>1358</v>
      </c>
      <c r="H639" s="7" t="s">
        <v>1368</v>
      </c>
      <c r="I639" s="7">
        <v>2</v>
      </c>
      <c r="J639" s="7" t="str">
        <f>INDEX(Master_Produk!$C$2:$C$11,MATCH(H639,Master_Produk!$A$2:$A$11,0))</f>
        <v>Furnitur</v>
      </c>
      <c r="K639" s="8">
        <f>INDEX(Master_Produk!$E$2:$E$11,MATCH(Data_Transaksi!H639,Master_Produk!$A$2:$A$11,0))</f>
        <v>650000</v>
      </c>
      <c r="L639" s="8">
        <f t="shared" si="39"/>
        <v>1300000</v>
      </c>
      <c r="M639" s="8">
        <f>INDEX(Master_Target!$B$2:$M$4, MATCH(J639, Master_Target!$A$2:$A$4, 0), MATCH(TEXT(B639, "[$-421]mmmm"), Master_Target!$B$1:$M$1, 0))</f>
        <v>34000000</v>
      </c>
    </row>
    <row r="640" spans="1:13" x14ac:dyDescent="0.25">
      <c r="A640" s="7" t="s">
        <v>649</v>
      </c>
      <c r="B640" s="11" t="s">
        <v>1224</v>
      </c>
      <c r="C640" s="7">
        <f t="shared" si="36"/>
        <v>8</v>
      </c>
      <c r="D640" s="7" t="str">
        <f t="shared" si="37"/>
        <v>Aug</v>
      </c>
      <c r="E640" s="7" t="s">
        <v>1355</v>
      </c>
      <c r="F640" s="7" t="str">
        <f t="shared" si="38"/>
        <v>Bambang H.</v>
      </c>
      <c r="G640" s="7" t="s">
        <v>1358</v>
      </c>
      <c r="H640" s="7" t="s">
        <v>1368</v>
      </c>
      <c r="I640" s="7">
        <v>1</v>
      </c>
      <c r="J640" s="7" t="str">
        <f>INDEX(Master_Produk!$C$2:$C$11,MATCH(H640,Master_Produk!$A$2:$A$11,0))</f>
        <v>Furnitur</v>
      </c>
      <c r="K640" s="8">
        <f>INDEX(Master_Produk!$E$2:$E$11,MATCH(Data_Transaksi!H640,Master_Produk!$A$2:$A$11,0))</f>
        <v>650000</v>
      </c>
      <c r="L640" s="8">
        <f t="shared" si="39"/>
        <v>650000</v>
      </c>
      <c r="M640" s="8">
        <f>INDEX(Master_Target!$B$2:$M$4, MATCH(J640, Master_Target!$A$2:$A$4, 0), MATCH(TEXT(B640, "[$-421]mmmm"), Master_Target!$B$1:$M$1, 0))</f>
        <v>34000000</v>
      </c>
    </row>
    <row r="641" spans="1:13" x14ac:dyDescent="0.25">
      <c r="A641" s="7" t="s">
        <v>650</v>
      </c>
      <c r="B641" s="11" t="s">
        <v>1224</v>
      </c>
      <c r="C641" s="7">
        <f t="shared" si="36"/>
        <v>8</v>
      </c>
      <c r="D641" s="7" t="str">
        <f t="shared" si="37"/>
        <v>Aug</v>
      </c>
      <c r="E641" s="7" t="s">
        <v>1348</v>
      </c>
      <c r="F641" s="7" t="str">
        <f t="shared" si="38"/>
        <v>Budi Santoso</v>
      </c>
      <c r="G641" s="7" t="s">
        <v>1358</v>
      </c>
      <c r="H641" s="7" t="s">
        <v>1365</v>
      </c>
      <c r="I641" s="7">
        <v>1</v>
      </c>
      <c r="J641" s="7" t="str">
        <f>INDEX(Master_Produk!$C$2:$C$11,MATCH(H641,Master_Produk!$A$2:$A$11,0))</f>
        <v>Elektronik</v>
      </c>
      <c r="K641" s="8">
        <f>INDEX(Master_Produk!$E$2:$E$11,MATCH(Data_Transaksi!H641,Master_Produk!$A$2:$A$11,0))</f>
        <v>1800000</v>
      </c>
      <c r="L641" s="8">
        <f t="shared" si="39"/>
        <v>1800000</v>
      </c>
      <c r="M641" s="8">
        <f>INDEX(Master_Target!$B$2:$M$4, MATCH(J641, Master_Target!$A$2:$A$4, 0), MATCH(TEXT(B641, "[$-421]mmmm"), Master_Target!$B$1:$M$1, 0))</f>
        <v>85000000</v>
      </c>
    </row>
    <row r="642" spans="1:13" x14ac:dyDescent="0.25">
      <c r="A642" s="7" t="s">
        <v>651</v>
      </c>
      <c r="B642" s="11" t="s">
        <v>1224</v>
      </c>
      <c r="C642" s="7">
        <f t="shared" si="36"/>
        <v>8</v>
      </c>
      <c r="D642" s="7" t="str">
        <f t="shared" si="37"/>
        <v>Aug</v>
      </c>
      <c r="E642" s="7" t="s">
        <v>1352</v>
      </c>
      <c r="F642" s="7" t="str">
        <f t="shared" si="38"/>
        <v>Ahmad Fauzi</v>
      </c>
      <c r="G642" s="7" t="s">
        <v>1361</v>
      </c>
      <c r="H642" s="7" t="s">
        <v>1366</v>
      </c>
      <c r="I642" s="7">
        <v>1</v>
      </c>
      <c r="J642" s="7" t="str">
        <f>INDEX(Master_Produk!$C$2:$C$11,MATCH(H642,Master_Produk!$A$2:$A$11,0))</f>
        <v>Elektronik</v>
      </c>
      <c r="K642" s="8">
        <f>INDEX(Master_Produk!$E$2:$E$11,MATCH(Data_Transaksi!H642,Master_Produk!$A$2:$A$11,0))</f>
        <v>7500000</v>
      </c>
      <c r="L642" s="8">
        <f t="shared" si="39"/>
        <v>7500000</v>
      </c>
      <c r="M642" s="8">
        <f>INDEX(Master_Target!$B$2:$M$4, MATCH(J642, Master_Target!$A$2:$A$4, 0), MATCH(TEXT(B642, "[$-421]mmmm"), Master_Target!$B$1:$M$1, 0))</f>
        <v>85000000</v>
      </c>
    </row>
    <row r="643" spans="1:13" x14ac:dyDescent="0.25">
      <c r="A643" s="7" t="s">
        <v>652</v>
      </c>
      <c r="B643" s="11" t="s">
        <v>1224</v>
      </c>
      <c r="C643" s="7">
        <f t="shared" ref="C643:C706" si="40">MONTH(B643)</f>
        <v>8</v>
      </c>
      <c r="D643" s="7" t="str">
        <f t="shared" ref="D643:D706" si="41">TEXT(B643,"mmm")</f>
        <v>Aug</v>
      </c>
      <c r="E643" s="7" t="s">
        <v>1348</v>
      </c>
      <c r="F643" s="7" t="str">
        <f t="shared" ref="F643:F706" si="42">TRIM(PROPER(E643))</f>
        <v>Budi Santoso</v>
      </c>
      <c r="G643" s="7" t="s">
        <v>1357</v>
      </c>
      <c r="H643" s="7" t="s">
        <v>1366</v>
      </c>
      <c r="I643" s="7">
        <v>2</v>
      </c>
      <c r="J643" s="7" t="str">
        <f>INDEX(Master_Produk!$C$2:$C$11,MATCH(H643,Master_Produk!$A$2:$A$11,0))</f>
        <v>Elektronik</v>
      </c>
      <c r="K643" s="8">
        <f>INDEX(Master_Produk!$E$2:$E$11,MATCH(Data_Transaksi!H643,Master_Produk!$A$2:$A$11,0))</f>
        <v>7500000</v>
      </c>
      <c r="L643" s="8">
        <f t="shared" ref="L643:L706" si="43">I643*K643</f>
        <v>15000000</v>
      </c>
      <c r="M643" s="8">
        <f>INDEX(Master_Target!$B$2:$M$4, MATCH(J643, Master_Target!$A$2:$A$4, 0), MATCH(TEXT(B643, "[$-421]mmmm"), Master_Target!$B$1:$M$1, 0))</f>
        <v>85000000</v>
      </c>
    </row>
    <row r="644" spans="1:13" x14ac:dyDescent="0.25">
      <c r="A644" s="7" t="s">
        <v>653</v>
      </c>
      <c r="B644" s="11" t="s">
        <v>1224</v>
      </c>
      <c r="C644" s="7">
        <f t="shared" si="40"/>
        <v>8</v>
      </c>
      <c r="D644" s="7" t="str">
        <f t="shared" si="41"/>
        <v>Aug</v>
      </c>
      <c r="E644" s="7" t="s">
        <v>1356</v>
      </c>
      <c r="F644" s="7" t="str">
        <f t="shared" si="42"/>
        <v>Eko Prasetyo</v>
      </c>
      <c r="G644" s="7" t="s">
        <v>1358</v>
      </c>
      <c r="H644" s="7" t="s">
        <v>1368</v>
      </c>
      <c r="I644" s="7">
        <v>4</v>
      </c>
      <c r="J644" s="7" t="str">
        <f>INDEX(Master_Produk!$C$2:$C$11,MATCH(H644,Master_Produk!$A$2:$A$11,0))</f>
        <v>Furnitur</v>
      </c>
      <c r="K644" s="8">
        <f>INDEX(Master_Produk!$E$2:$E$11,MATCH(Data_Transaksi!H644,Master_Produk!$A$2:$A$11,0))</f>
        <v>650000</v>
      </c>
      <c r="L644" s="8">
        <f t="shared" si="43"/>
        <v>2600000</v>
      </c>
      <c r="M644" s="8">
        <f>INDEX(Master_Target!$B$2:$M$4, MATCH(J644, Master_Target!$A$2:$A$4, 0), MATCH(TEXT(B644, "[$-421]mmmm"), Master_Target!$B$1:$M$1, 0))</f>
        <v>34000000</v>
      </c>
    </row>
    <row r="645" spans="1:13" x14ac:dyDescent="0.25">
      <c r="A645" s="7" t="s">
        <v>654</v>
      </c>
      <c r="B645" s="11" t="s">
        <v>1225</v>
      </c>
      <c r="C645" s="7">
        <f t="shared" si="40"/>
        <v>8</v>
      </c>
      <c r="D645" s="7" t="str">
        <f t="shared" si="41"/>
        <v>Aug</v>
      </c>
      <c r="E645" s="7" t="s">
        <v>1350</v>
      </c>
      <c r="F645" s="7" t="str">
        <f t="shared" si="42"/>
        <v>Andi Wijaya</v>
      </c>
      <c r="G645" s="7" t="s">
        <v>1360</v>
      </c>
      <c r="H645" s="7" t="s">
        <v>1363</v>
      </c>
      <c r="I645" s="7">
        <v>3</v>
      </c>
      <c r="J645" s="7" t="str">
        <f>INDEX(Master_Produk!$C$2:$C$11,MATCH(H645,Master_Produk!$A$2:$A$11,0))</f>
        <v>Pakaian</v>
      </c>
      <c r="K645" s="8">
        <f>INDEX(Master_Produk!$E$2:$E$11,MATCH(Data_Transaksi!H645,Master_Produk!$A$2:$A$11,0))</f>
        <v>250000</v>
      </c>
      <c r="L645" s="8">
        <f t="shared" si="43"/>
        <v>750000</v>
      </c>
      <c r="M645" s="8">
        <f>INDEX(Master_Target!$B$2:$M$4, MATCH(J645, Master_Target!$A$2:$A$4, 0), MATCH(TEXT(B645, "[$-421]mmmm"), Master_Target!$B$1:$M$1, 0))</f>
        <v>25500000</v>
      </c>
    </row>
    <row r="646" spans="1:13" x14ac:dyDescent="0.25">
      <c r="A646" s="7" t="s">
        <v>655</v>
      </c>
      <c r="B646" s="11" t="s">
        <v>1225</v>
      </c>
      <c r="C646" s="7">
        <f t="shared" si="40"/>
        <v>8</v>
      </c>
      <c r="D646" s="7" t="str">
        <f t="shared" si="41"/>
        <v>Aug</v>
      </c>
      <c r="E646" s="7" t="s">
        <v>1347</v>
      </c>
      <c r="F646" s="7" t="str">
        <f t="shared" si="42"/>
        <v>Rina Marlina</v>
      </c>
      <c r="G646" s="7" t="s">
        <v>1358</v>
      </c>
      <c r="H646" s="7" t="s">
        <v>1368</v>
      </c>
      <c r="I646" s="7">
        <v>3</v>
      </c>
      <c r="J646" s="7" t="str">
        <f>INDEX(Master_Produk!$C$2:$C$11,MATCH(H646,Master_Produk!$A$2:$A$11,0))</f>
        <v>Furnitur</v>
      </c>
      <c r="K646" s="8">
        <f>INDEX(Master_Produk!$E$2:$E$11,MATCH(Data_Transaksi!H646,Master_Produk!$A$2:$A$11,0))</f>
        <v>650000</v>
      </c>
      <c r="L646" s="8">
        <f t="shared" si="43"/>
        <v>1950000</v>
      </c>
      <c r="M646" s="8">
        <f>INDEX(Master_Target!$B$2:$M$4, MATCH(J646, Master_Target!$A$2:$A$4, 0), MATCH(TEXT(B646, "[$-421]mmmm"), Master_Target!$B$1:$M$1, 0))</f>
        <v>34000000</v>
      </c>
    </row>
    <row r="647" spans="1:13" x14ac:dyDescent="0.25">
      <c r="A647" s="7" t="s">
        <v>656</v>
      </c>
      <c r="B647" s="11" t="s">
        <v>1225</v>
      </c>
      <c r="C647" s="7">
        <f t="shared" si="40"/>
        <v>8</v>
      </c>
      <c r="D647" s="7" t="str">
        <f t="shared" si="41"/>
        <v>Aug</v>
      </c>
      <c r="E647" s="7" t="s">
        <v>1348</v>
      </c>
      <c r="F647" s="7" t="str">
        <f t="shared" si="42"/>
        <v>Budi Santoso</v>
      </c>
      <c r="G647" s="7" t="s">
        <v>1359</v>
      </c>
      <c r="H647" s="7" t="s">
        <v>1363</v>
      </c>
      <c r="I647" s="7">
        <v>2</v>
      </c>
      <c r="J647" s="7" t="str">
        <f>INDEX(Master_Produk!$C$2:$C$11,MATCH(H647,Master_Produk!$A$2:$A$11,0))</f>
        <v>Pakaian</v>
      </c>
      <c r="K647" s="8">
        <f>INDEX(Master_Produk!$E$2:$E$11,MATCH(Data_Transaksi!H647,Master_Produk!$A$2:$A$11,0))</f>
        <v>250000</v>
      </c>
      <c r="L647" s="8">
        <f t="shared" si="43"/>
        <v>500000</v>
      </c>
      <c r="M647" s="8">
        <f>INDEX(Master_Target!$B$2:$M$4, MATCH(J647, Master_Target!$A$2:$A$4, 0), MATCH(TEXT(B647, "[$-421]mmmm"), Master_Target!$B$1:$M$1, 0))</f>
        <v>25500000</v>
      </c>
    </row>
    <row r="648" spans="1:13" x14ac:dyDescent="0.25">
      <c r="A648" s="7" t="s">
        <v>657</v>
      </c>
      <c r="B648" s="11" t="s">
        <v>1225</v>
      </c>
      <c r="C648" s="7">
        <f t="shared" si="40"/>
        <v>8</v>
      </c>
      <c r="D648" s="7" t="str">
        <f t="shared" si="41"/>
        <v>Aug</v>
      </c>
      <c r="E648" s="7" t="s">
        <v>1348</v>
      </c>
      <c r="F648" s="7" t="str">
        <f t="shared" si="42"/>
        <v>Budi Santoso</v>
      </c>
      <c r="G648" s="7" t="s">
        <v>1360</v>
      </c>
      <c r="H648" s="7" t="s">
        <v>1366</v>
      </c>
      <c r="I648" s="7">
        <v>1</v>
      </c>
      <c r="J648" s="7" t="str">
        <f>INDEX(Master_Produk!$C$2:$C$11,MATCH(H648,Master_Produk!$A$2:$A$11,0))</f>
        <v>Elektronik</v>
      </c>
      <c r="K648" s="8">
        <f>INDEX(Master_Produk!$E$2:$E$11,MATCH(Data_Transaksi!H648,Master_Produk!$A$2:$A$11,0))</f>
        <v>7500000</v>
      </c>
      <c r="L648" s="8">
        <f t="shared" si="43"/>
        <v>7500000</v>
      </c>
      <c r="M648" s="8">
        <f>INDEX(Master_Target!$B$2:$M$4, MATCH(J648, Master_Target!$A$2:$A$4, 0), MATCH(TEXT(B648, "[$-421]mmmm"), Master_Target!$B$1:$M$1, 0))</f>
        <v>85000000</v>
      </c>
    </row>
    <row r="649" spans="1:13" x14ac:dyDescent="0.25">
      <c r="A649" s="7" t="s">
        <v>658</v>
      </c>
      <c r="B649" s="11" t="s">
        <v>1225</v>
      </c>
      <c r="C649" s="7">
        <f t="shared" si="40"/>
        <v>8</v>
      </c>
      <c r="D649" s="7" t="str">
        <f t="shared" si="41"/>
        <v>Aug</v>
      </c>
      <c r="E649" s="7" t="s">
        <v>1350</v>
      </c>
      <c r="F649" s="7" t="str">
        <f t="shared" si="42"/>
        <v>Andi Wijaya</v>
      </c>
      <c r="G649" s="7" t="s">
        <v>1360</v>
      </c>
      <c r="H649" s="7" t="s">
        <v>1368</v>
      </c>
      <c r="I649" s="7">
        <v>1</v>
      </c>
      <c r="J649" s="7" t="str">
        <f>INDEX(Master_Produk!$C$2:$C$11,MATCH(H649,Master_Produk!$A$2:$A$11,0))</f>
        <v>Furnitur</v>
      </c>
      <c r="K649" s="8">
        <f>INDEX(Master_Produk!$E$2:$E$11,MATCH(Data_Transaksi!H649,Master_Produk!$A$2:$A$11,0))</f>
        <v>650000</v>
      </c>
      <c r="L649" s="8">
        <f t="shared" si="43"/>
        <v>650000</v>
      </c>
      <c r="M649" s="8">
        <f>INDEX(Master_Target!$B$2:$M$4, MATCH(J649, Master_Target!$A$2:$A$4, 0), MATCH(TEXT(B649, "[$-421]mmmm"), Master_Target!$B$1:$M$1, 0))</f>
        <v>34000000</v>
      </c>
    </row>
    <row r="650" spans="1:13" x14ac:dyDescent="0.25">
      <c r="A650" s="7" t="s">
        <v>659</v>
      </c>
      <c r="B650" s="11" t="s">
        <v>1225</v>
      </c>
      <c r="C650" s="7">
        <f t="shared" si="40"/>
        <v>8</v>
      </c>
      <c r="D650" s="7" t="str">
        <f t="shared" si="41"/>
        <v>Aug</v>
      </c>
      <c r="E650" s="7" t="s">
        <v>1350</v>
      </c>
      <c r="F650" s="7" t="str">
        <f t="shared" si="42"/>
        <v>Andi Wijaya</v>
      </c>
      <c r="G650" s="7" t="s">
        <v>1360</v>
      </c>
      <c r="H650" s="7" t="s">
        <v>1365</v>
      </c>
      <c r="I650" s="7">
        <v>10</v>
      </c>
      <c r="J650" s="7" t="str">
        <f>INDEX(Master_Produk!$C$2:$C$11,MATCH(H650,Master_Produk!$A$2:$A$11,0))</f>
        <v>Elektronik</v>
      </c>
      <c r="K650" s="8">
        <f>INDEX(Master_Produk!$E$2:$E$11,MATCH(Data_Transaksi!H650,Master_Produk!$A$2:$A$11,0))</f>
        <v>1800000</v>
      </c>
      <c r="L650" s="8">
        <f t="shared" si="43"/>
        <v>18000000</v>
      </c>
      <c r="M650" s="8">
        <f>INDEX(Master_Target!$B$2:$M$4, MATCH(J650, Master_Target!$A$2:$A$4, 0), MATCH(TEXT(B650, "[$-421]mmmm"), Master_Target!$B$1:$M$1, 0))</f>
        <v>85000000</v>
      </c>
    </row>
    <row r="651" spans="1:13" x14ac:dyDescent="0.25">
      <c r="A651" s="7" t="s">
        <v>660</v>
      </c>
      <c r="B651" s="11" t="s">
        <v>1225</v>
      </c>
      <c r="C651" s="7">
        <f t="shared" si="40"/>
        <v>8</v>
      </c>
      <c r="D651" s="7" t="str">
        <f t="shared" si="41"/>
        <v>Aug</v>
      </c>
      <c r="E651" s="7" t="s">
        <v>1348</v>
      </c>
      <c r="F651" s="7" t="str">
        <f t="shared" si="42"/>
        <v>Budi Santoso</v>
      </c>
      <c r="G651" s="7" t="s">
        <v>1358</v>
      </c>
      <c r="H651" s="7" t="s">
        <v>1370</v>
      </c>
      <c r="I651" s="7">
        <v>1</v>
      </c>
      <c r="J651" s="7" t="str">
        <f>INDEX(Master_Produk!$C$2:$C$11,MATCH(H651,Master_Produk!$A$2:$A$11,0))</f>
        <v>Furnitur</v>
      </c>
      <c r="K651" s="8">
        <f>INDEX(Master_Produk!$E$2:$E$11,MATCH(Data_Transaksi!H651,Master_Produk!$A$2:$A$11,0))</f>
        <v>1200000</v>
      </c>
      <c r="L651" s="8">
        <f t="shared" si="43"/>
        <v>1200000</v>
      </c>
      <c r="M651" s="8">
        <f>INDEX(Master_Target!$B$2:$M$4, MATCH(J651, Master_Target!$A$2:$A$4, 0), MATCH(TEXT(B651, "[$-421]mmmm"), Master_Target!$B$1:$M$1, 0))</f>
        <v>34000000</v>
      </c>
    </row>
    <row r="652" spans="1:13" x14ac:dyDescent="0.25">
      <c r="A652" s="7" t="s">
        <v>661</v>
      </c>
      <c r="B652" s="11" t="s">
        <v>1225</v>
      </c>
      <c r="C652" s="7">
        <f t="shared" si="40"/>
        <v>8</v>
      </c>
      <c r="D652" s="7" t="str">
        <f t="shared" si="41"/>
        <v>Aug</v>
      </c>
      <c r="E652" s="7" t="s">
        <v>1353</v>
      </c>
      <c r="F652" s="7" t="str">
        <f t="shared" si="42"/>
        <v>Sari Yuliana</v>
      </c>
      <c r="G652" s="7" t="s">
        <v>1360</v>
      </c>
      <c r="H652" s="7" t="s">
        <v>1369</v>
      </c>
      <c r="I652" s="7">
        <v>4</v>
      </c>
      <c r="J652" s="7" t="str">
        <f>INDEX(Master_Produk!$C$2:$C$11,MATCH(H652,Master_Produk!$A$2:$A$11,0))</f>
        <v>Elektronik</v>
      </c>
      <c r="K652" s="8">
        <f>INDEX(Master_Produk!$E$2:$E$11,MATCH(Data_Transaksi!H652,Master_Produk!$A$2:$A$11,0))</f>
        <v>4500000</v>
      </c>
      <c r="L652" s="8">
        <f t="shared" si="43"/>
        <v>18000000</v>
      </c>
      <c r="M652" s="8">
        <f>INDEX(Master_Target!$B$2:$M$4, MATCH(J652, Master_Target!$A$2:$A$4, 0), MATCH(TEXT(B652, "[$-421]mmmm"), Master_Target!$B$1:$M$1, 0))</f>
        <v>85000000</v>
      </c>
    </row>
    <row r="653" spans="1:13" x14ac:dyDescent="0.25">
      <c r="A653" s="7" t="s">
        <v>662</v>
      </c>
      <c r="B653" s="11" t="s">
        <v>1226</v>
      </c>
      <c r="C653" s="7">
        <f t="shared" si="40"/>
        <v>8</v>
      </c>
      <c r="D653" s="7" t="str">
        <f t="shared" si="41"/>
        <v>Aug</v>
      </c>
      <c r="E653" s="7" t="s">
        <v>1351</v>
      </c>
      <c r="F653" s="7" t="str">
        <f t="shared" si="42"/>
        <v>Siti Rahma</v>
      </c>
      <c r="G653" s="7" t="s">
        <v>1359</v>
      </c>
      <c r="H653" s="7" t="s">
        <v>1369</v>
      </c>
      <c r="I653" s="7">
        <v>2</v>
      </c>
      <c r="J653" s="7" t="str">
        <f>INDEX(Master_Produk!$C$2:$C$11,MATCH(H653,Master_Produk!$A$2:$A$11,0))</f>
        <v>Elektronik</v>
      </c>
      <c r="K653" s="8">
        <f>INDEX(Master_Produk!$E$2:$E$11,MATCH(Data_Transaksi!H653,Master_Produk!$A$2:$A$11,0))</f>
        <v>4500000</v>
      </c>
      <c r="L653" s="8">
        <f t="shared" si="43"/>
        <v>9000000</v>
      </c>
      <c r="M653" s="8">
        <f>INDEX(Master_Target!$B$2:$M$4, MATCH(J653, Master_Target!$A$2:$A$4, 0), MATCH(TEXT(B653, "[$-421]mmmm"), Master_Target!$B$1:$M$1, 0))</f>
        <v>85000000</v>
      </c>
    </row>
    <row r="654" spans="1:13" x14ac:dyDescent="0.25">
      <c r="A654" s="7" t="s">
        <v>663</v>
      </c>
      <c r="B654" s="11" t="s">
        <v>1227</v>
      </c>
      <c r="C654" s="7">
        <f t="shared" si="40"/>
        <v>8</v>
      </c>
      <c r="D654" s="7" t="str">
        <f t="shared" si="41"/>
        <v>Aug</v>
      </c>
      <c r="E654" s="7" t="s">
        <v>1350</v>
      </c>
      <c r="F654" s="7" t="str">
        <f t="shared" si="42"/>
        <v>Andi Wijaya</v>
      </c>
      <c r="G654" s="7" t="s">
        <v>1361</v>
      </c>
      <c r="H654" s="7" t="s">
        <v>1368</v>
      </c>
      <c r="I654" s="7">
        <v>2</v>
      </c>
      <c r="J654" s="7" t="str">
        <f>INDEX(Master_Produk!$C$2:$C$11,MATCH(H654,Master_Produk!$A$2:$A$11,0))</f>
        <v>Furnitur</v>
      </c>
      <c r="K654" s="8">
        <f>INDEX(Master_Produk!$E$2:$E$11,MATCH(Data_Transaksi!H654,Master_Produk!$A$2:$A$11,0))</f>
        <v>650000</v>
      </c>
      <c r="L654" s="8">
        <f t="shared" si="43"/>
        <v>1300000</v>
      </c>
      <c r="M654" s="8">
        <f>INDEX(Master_Target!$B$2:$M$4, MATCH(J654, Master_Target!$A$2:$A$4, 0), MATCH(TEXT(B654, "[$-421]mmmm"), Master_Target!$B$1:$M$1, 0))</f>
        <v>34000000</v>
      </c>
    </row>
    <row r="655" spans="1:13" x14ac:dyDescent="0.25">
      <c r="A655" s="7" t="s">
        <v>664</v>
      </c>
      <c r="B655" s="11" t="s">
        <v>1227</v>
      </c>
      <c r="C655" s="7">
        <f t="shared" si="40"/>
        <v>8</v>
      </c>
      <c r="D655" s="7" t="str">
        <f t="shared" si="41"/>
        <v>Aug</v>
      </c>
      <c r="E655" s="7" t="s">
        <v>1351</v>
      </c>
      <c r="F655" s="7" t="str">
        <f t="shared" si="42"/>
        <v>Siti Rahma</v>
      </c>
      <c r="G655" s="7" t="s">
        <v>1359</v>
      </c>
      <c r="H655" s="7" t="s">
        <v>1370</v>
      </c>
      <c r="I655" s="7">
        <v>3</v>
      </c>
      <c r="J655" s="7" t="str">
        <f>INDEX(Master_Produk!$C$2:$C$11,MATCH(H655,Master_Produk!$A$2:$A$11,0))</f>
        <v>Furnitur</v>
      </c>
      <c r="K655" s="8">
        <f>INDEX(Master_Produk!$E$2:$E$11,MATCH(Data_Transaksi!H655,Master_Produk!$A$2:$A$11,0))</f>
        <v>1200000</v>
      </c>
      <c r="L655" s="8">
        <f t="shared" si="43"/>
        <v>3600000</v>
      </c>
      <c r="M655" s="8">
        <f>INDEX(Master_Target!$B$2:$M$4, MATCH(J655, Master_Target!$A$2:$A$4, 0), MATCH(TEXT(B655, "[$-421]mmmm"), Master_Target!$B$1:$M$1, 0))</f>
        <v>34000000</v>
      </c>
    </row>
    <row r="656" spans="1:13" x14ac:dyDescent="0.25">
      <c r="A656" s="7" t="s">
        <v>665</v>
      </c>
      <c r="B656" s="11" t="s">
        <v>1228</v>
      </c>
      <c r="C656" s="7">
        <f t="shared" si="40"/>
        <v>8</v>
      </c>
      <c r="D656" s="7" t="str">
        <f t="shared" si="41"/>
        <v>Aug</v>
      </c>
      <c r="E656" s="7" t="s">
        <v>1355</v>
      </c>
      <c r="F656" s="7" t="str">
        <f t="shared" si="42"/>
        <v>Bambang H.</v>
      </c>
      <c r="G656" s="7" t="s">
        <v>1357</v>
      </c>
      <c r="H656" s="7" t="s">
        <v>1364</v>
      </c>
      <c r="I656" s="7">
        <v>2</v>
      </c>
      <c r="J656" s="7" t="str">
        <f>INDEX(Master_Produk!$C$2:$C$11,MATCH(H656,Master_Produk!$A$2:$A$11,0))</f>
        <v>Furnitur</v>
      </c>
      <c r="K656" s="8">
        <f>INDEX(Master_Produk!$E$2:$E$11,MATCH(Data_Transaksi!H656,Master_Produk!$A$2:$A$11,0))</f>
        <v>950000</v>
      </c>
      <c r="L656" s="8">
        <f t="shared" si="43"/>
        <v>1900000</v>
      </c>
      <c r="M656" s="8">
        <f>INDEX(Master_Target!$B$2:$M$4, MATCH(J656, Master_Target!$A$2:$A$4, 0), MATCH(TEXT(B656, "[$-421]mmmm"), Master_Target!$B$1:$M$1, 0))</f>
        <v>34000000</v>
      </c>
    </row>
    <row r="657" spans="1:13" x14ac:dyDescent="0.25">
      <c r="A657" s="7" t="s">
        <v>666</v>
      </c>
      <c r="B657" s="11" t="s">
        <v>1228</v>
      </c>
      <c r="C657" s="7">
        <f t="shared" si="40"/>
        <v>8</v>
      </c>
      <c r="D657" s="7" t="str">
        <f t="shared" si="41"/>
        <v>Aug</v>
      </c>
      <c r="E657" s="7" t="s">
        <v>1347</v>
      </c>
      <c r="F657" s="7" t="str">
        <f t="shared" si="42"/>
        <v>Rina Marlina</v>
      </c>
      <c r="G657" s="7" t="s">
        <v>1360</v>
      </c>
      <c r="H657" s="7" t="s">
        <v>1364</v>
      </c>
      <c r="I657" s="7">
        <v>4</v>
      </c>
      <c r="J657" s="7" t="str">
        <f>INDEX(Master_Produk!$C$2:$C$11,MATCH(H657,Master_Produk!$A$2:$A$11,0))</f>
        <v>Furnitur</v>
      </c>
      <c r="K657" s="8">
        <f>INDEX(Master_Produk!$E$2:$E$11,MATCH(Data_Transaksi!H657,Master_Produk!$A$2:$A$11,0))</f>
        <v>950000</v>
      </c>
      <c r="L657" s="8">
        <f t="shared" si="43"/>
        <v>3800000</v>
      </c>
      <c r="M657" s="8">
        <f>INDEX(Master_Target!$B$2:$M$4, MATCH(J657, Master_Target!$A$2:$A$4, 0), MATCH(TEXT(B657, "[$-421]mmmm"), Master_Target!$B$1:$M$1, 0))</f>
        <v>34000000</v>
      </c>
    </row>
    <row r="658" spans="1:13" x14ac:dyDescent="0.25">
      <c r="A658" s="7" t="s">
        <v>667</v>
      </c>
      <c r="B658" s="11" t="s">
        <v>1228</v>
      </c>
      <c r="C658" s="7">
        <f t="shared" si="40"/>
        <v>8</v>
      </c>
      <c r="D658" s="7" t="str">
        <f t="shared" si="41"/>
        <v>Aug</v>
      </c>
      <c r="E658" s="7" t="s">
        <v>1353</v>
      </c>
      <c r="F658" s="7" t="str">
        <f t="shared" si="42"/>
        <v>Sari Yuliana</v>
      </c>
      <c r="G658" s="7" t="s">
        <v>1359</v>
      </c>
      <c r="H658" s="7" t="s">
        <v>1362</v>
      </c>
      <c r="I658" s="7">
        <v>4</v>
      </c>
      <c r="J658" s="7" t="str">
        <f>INDEX(Master_Produk!$C$2:$C$11,MATCH(H658,Master_Produk!$A$2:$A$11,0))</f>
        <v>Pakaian</v>
      </c>
      <c r="K658" s="8">
        <f>INDEX(Master_Produk!$E$2:$E$11,MATCH(Data_Transaksi!H658,Master_Produk!$A$2:$A$11,0))</f>
        <v>350000</v>
      </c>
      <c r="L658" s="8">
        <f t="shared" si="43"/>
        <v>1400000</v>
      </c>
      <c r="M658" s="8">
        <f>INDEX(Master_Target!$B$2:$M$4, MATCH(J658, Master_Target!$A$2:$A$4, 0), MATCH(TEXT(B658, "[$-421]mmmm"), Master_Target!$B$1:$M$1, 0))</f>
        <v>25500000</v>
      </c>
    </row>
    <row r="659" spans="1:13" x14ac:dyDescent="0.25">
      <c r="A659" s="7" t="s">
        <v>668</v>
      </c>
      <c r="B659" s="11" t="s">
        <v>1229</v>
      </c>
      <c r="C659" s="7">
        <f t="shared" si="40"/>
        <v>8</v>
      </c>
      <c r="D659" s="7" t="str">
        <f t="shared" si="41"/>
        <v>Aug</v>
      </c>
      <c r="E659" s="7" t="s">
        <v>1350</v>
      </c>
      <c r="F659" s="7" t="str">
        <f t="shared" si="42"/>
        <v>Andi Wijaya</v>
      </c>
      <c r="G659" s="7" t="s">
        <v>1358</v>
      </c>
      <c r="H659" s="7" t="s">
        <v>1368</v>
      </c>
      <c r="I659" s="7">
        <v>2</v>
      </c>
      <c r="J659" s="7" t="str">
        <f>INDEX(Master_Produk!$C$2:$C$11,MATCH(H659,Master_Produk!$A$2:$A$11,0))</f>
        <v>Furnitur</v>
      </c>
      <c r="K659" s="8">
        <f>INDEX(Master_Produk!$E$2:$E$11,MATCH(Data_Transaksi!H659,Master_Produk!$A$2:$A$11,0))</f>
        <v>650000</v>
      </c>
      <c r="L659" s="8">
        <f t="shared" si="43"/>
        <v>1300000</v>
      </c>
      <c r="M659" s="8">
        <f>INDEX(Master_Target!$B$2:$M$4, MATCH(J659, Master_Target!$A$2:$A$4, 0), MATCH(TEXT(B659, "[$-421]mmmm"), Master_Target!$B$1:$M$1, 0))</f>
        <v>34000000</v>
      </c>
    </row>
    <row r="660" spans="1:13" x14ac:dyDescent="0.25">
      <c r="A660" s="7" t="s">
        <v>669</v>
      </c>
      <c r="B660" s="11" t="s">
        <v>1229</v>
      </c>
      <c r="C660" s="7">
        <f t="shared" si="40"/>
        <v>8</v>
      </c>
      <c r="D660" s="7" t="str">
        <f t="shared" si="41"/>
        <v>Aug</v>
      </c>
      <c r="E660" s="7" t="s">
        <v>1355</v>
      </c>
      <c r="F660" s="7" t="str">
        <f t="shared" si="42"/>
        <v>Bambang H.</v>
      </c>
      <c r="G660" s="7" t="s">
        <v>1357</v>
      </c>
      <c r="H660" s="7" t="s">
        <v>1363</v>
      </c>
      <c r="I660" s="7">
        <v>1</v>
      </c>
      <c r="J660" s="7" t="str">
        <f>INDEX(Master_Produk!$C$2:$C$11,MATCH(H660,Master_Produk!$A$2:$A$11,0))</f>
        <v>Pakaian</v>
      </c>
      <c r="K660" s="8">
        <f>INDEX(Master_Produk!$E$2:$E$11,MATCH(Data_Transaksi!H660,Master_Produk!$A$2:$A$11,0))</f>
        <v>250000</v>
      </c>
      <c r="L660" s="8">
        <f t="shared" si="43"/>
        <v>250000</v>
      </c>
      <c r="M660" s="8">
        <f>INDEX(Master_Target!$B$2:$M$4, MATCH(J660, Master_Target!$A$2:$A$4, 0), MATCH(TEXT(B660, "[$-421]mmmm"), Master_Target!$B$1:$M$1, 0))</f>
        <v>25500000</v>
      </c>
    </row>
    <row r="661" spans="1:13" x14ac:dyDescent="0.25">
      <c r="A661" s="7" t="s">
        <v>670</v>
      </c>
      <c r="B661" s="11" t="s">
        <v>1229</v>
      </c>
      <c r="C661" s="7">
        <f t="shared" si="40"/>
        <v>8</v>
      </c>
      <c r="D661" s="7" t="str">
        <f t="shared" si="41"/>
        <v>Aug</v>
      </c>
      <c r="E661" s="7" t="s">
        <v>1349</v>
      </c>
      <c r="F661" s="7" t="str">
        <f t="shared" si="42"/>
        <v>Dewi Lestari</v>
      </c>
      <c r="G661" s="7" t="s">
        <v>1359</v>
      </c>
      <c r="H661" s="7" t="s">
        <v>1371</v>
      </c>
      <c r="I661" s="7">
        <v>2</v>
      </c>
      <c r="J661" s="7" t="str">
        <f>INDEX(Master_Produk!$C$2:$C$11,MATCH(H661,Master_Produk!$A$2:$A$11,0))</f>
        <v>Pakaian</v>
      </c>
      <c r="K661" s="8">
        <f>INDEX(Master_Produk!$E$2:$E$11,MATCH(Data_Transaksi!H661,Master_Produk!$A$2:$A$11,0))</f>
        <v>280000</v>
      </c>
      <c r="L661" s="8">
        <f t="shared" si="43"/>
        <v>560000</v>
      </c>
      <c r="M661" s="8">
        <f>INDEX(Master_Target!$B$2:$M$4, MATCH(J661, Master_Target!$A$2:$A$4, 0), MATCH(TEXT(B661, "[$-421]mmmm"), Master_Target!$B$1:$M$1, 0))</f>
        <v>25500000</v>
      </c>
    </row>
    <row r="662" spans="1:13" x14ac:dyDescent="0.25">
      <c r="A662" s="7" t="s">
        <v>671</v>
      </c>
      <c r="B662" s="11" t="s">
        <v>1230</v>
      </c>
      <c r="C662" s="7">
        <f t="shared" si="40"/>
        <v>8</v>
      </c>
      <c r="D662" s="7" t="str">
        <f t="shared" si="41"/>
        <v>Aug</v>
      </c>
      <c r="E662" s="7" t="s">
        <v>1356</v>
      </c>
      <c r="F662" s="7" t="str">
        <f t="shared" si="42"/>
        <v>Eko Prasetyo</v>
      </c>
      <c r="G662" s="7" t="s">
        <v>1360</v>
      </c>
      <c r="H662" s="7" t="s">
        <v>1363</v>
      </c>
      <c r="I662" s="7">
        <v>4</v>
      </c>
      <c r="J662" s="7" t="str">
        <f>INDEX(Master_Produk!$C$2:$C$11,MATCH(H662,Master_Produk!$A$2:$A$11,0))</f>
        <v>Pakaian</v>
      </c>
      <c r="K662" s="8">
        <f>INDEX(Master_Produk!$E$2:$E$11,MATCH(Data_Transaksi!H662,Master_Produk!$A$2:$A$11,0))</f>
        <v>250000</v>
      </c>
      <c r="L662" s="8">
        <f t="shared" si="43"/>
        <v>1000000</v>
      </c>
      <c r="M662" s="8">
        <f>INDEX(Master_Target!$B$2:$M$4, MATCH(J662, Master_Target!$A$2:$A$4, 0), MATCH(TEXT(B662, "[$-421]mmmm"), Master_Target!$B$1:$M$1, 0))</f>
        <v>25500000</v>
      </c>
    </row>
    <row r="663" spans="1:13" x14ac:dyDescent="0.25">
      <c r="A663" s="7" t="s">
        <v>672</v>
      </c>
      <c r="B663" s="11" t="s">
        <v>1230</v>
      </c>
      <c r="C663" s="7">
        <f t="shared" si="40"/>
        <v>8</v>
      </c>
      <c r="D663" s="7" t="str">
        <f t="shared" si="41"/>
        <v>Aug</v>
      </c>
      <c r="E663" s="7" t="s">
        <v>1351</v>
      </c>
      <c r="F663" s="7" t="str">
        <f t="shared" si="42"/>
        <v>Siti Rahma</v>
      </c>
      <c r="G663" s="7" t="s">
        <v>1358</v>
      </c>
      <c r="H663" s="7" t="s">
        <v>1365</v>
      </c>
      <c r="I663" s="7">
        <v>1</v>
      </c>
      <c r="J663" s="7" t="str">
        <f>INDEX(Master_Produk!$C$2:$C$11,MATCH(H663,Master_Produk!$A$2:$A$11,0))</f>
        <v>Elektronik</v>
      </c>
      <c r="K663" s="8">
        <f>INDEX(Master_Produk!$E$2:$E$11,MATCH(Data_Transaksi!H663,Master_Produk!$A$2:$A$11,0))</f>
        <v>1800000</v>
      </c>
      <c r="L663" s="8">
        <f t="shared" si="43"/>
        <v>1800000</v>
      </c>
      <c r="M663" s="8">
        <f>INDEX(Master_Target!$B$2:$M$4, MATCH(J663, Master_Target!$A$2:$A$4, 0), MATCH(TEXT(B663, "[$-421]mmmm"), Master_Target!$B$1:$M$1, 0))</f>
        <v>85000000</v>
      </c>
    </row>
    <row r="664" spans="1:13" x14ac:dyDescent="0.25">
      <c r="A664" s="7" t="s">
        <v>673</v>
      </c>
      <c r="B664" s="11" t="s">
        <v>1230</v>
      </c>
      <c r="C664" s="7">
        <f t="shared" si="40"/>
        <v>8</v>
      </c>
      <c r="D664" s="7" t="str">
        <f t="shared" si="41"/>
        <v>Aug</v>
      </c>
      <c r="E664" s="7" t="s">
        <v>1353</v>
      </c>
      <c r="F664" s="7" t="str">
        <f t="shared" si="42"/>
        <v>Sari Yuliana</v>
      </c>
      <c r="G664" s="7" t="s">
        <v>1360</v>
      </c>
      <c r="H664" s="7" t="s">
        <v>1369</v>
      </c>
      <c r="I664" s="7">
        <v>2</v>
      </c>
      <c r="J664" s="7" t="str">
        <f>INDEX(Master_Produk!$C$2:$C$11,MATCH(H664,Master_Produk!$A$2:$A$11,0))</f>
        <v>Elektronik</v>
      </c>
      <c r="K664" s="8">
        <f>INDEX(Master_Produk!$E$2:$E$11,MATCH(Data_Transaksi!H664,Master_Produk!$A$2:$A$11,0))</f>
        <v>4500000</v>
      </c>
      <c r="L664" s="8">
        <f t="shared" si="43"/>
        <v>9000000</v>
      </c>
      <c r="M664" s="8">
        <f>INDEX(Master_Target!$B$2:$M$4, MATCH(J664, Master_Target!$A$2:$A$4, 0), MATCH(TEXT(B664, "[$-421]mmmm"), Master_Target!$B$1:$M$1, 0))</f>
        <v>85000000</v>
      </c>
    </row>
    <row r="665" spans="1:13" x14ac:dyDescent="0.25">
      <c r="A665" s="7" t="s">
        <v>674</v>
      </c>
      <c r="B665" s="11" t="s">
        <v>1231</v>
      </c>
      <c r="C665" s="7">
        <f t="shared" si="40"/>
        <v>8</v>
      </c>
      <c r="D665" s="7" t="str">
        <f t="shared" si="41"/>
        <v>Aug</v>
      </c>
      <c r="E665" s="7" t="s">
        <v>1353</v>
      </c>
      <c r="F665" s="7" t="str">
        <f t="shared" si="42"/>
        <v>Sari Yuliana</v>
      </c>
      <c r="G665" s="7" t="s">
        <v>1357</v>
      </c>
      <c r="H665" s="7" t="s">
        <v>1371</v>
      </c>
      <c r="I665" s="7">
        <v>2</v>
      </c>
      <c r="J665" s="7" t="str">
        <f>INDEX(Master_Produk!$C$2:$C$11,MATCH(H665,Master_Produk!$A$2:$A$11,0))</f>
        <v>Pakaian</v>
      </c>
      <c r="K665" s="8">
        <f>INDEX(Master_Produk!$E$2:$E$11,MATCH(Data_Transaksi!H665,Master_Produk!$A$2:$A$11,0))</f>
        <v>280000</v>
      </c>
      <c r="L665" s="8">
        <f t="shared" si="43"/>
        <v>560000</v>
      </c>
      <c r="M665" s="8">
        <f>INDEX(Master_Target!$B$2:$M$4, MATCH(J665, Master_Target!$A$2:$A$4, 0), MATCH(TEXT(B665, "[$-421]mmmm"), Master_Target!$B$1:$M$1, 0))</f>
        <v>25500000</v>
      </c>
    </row>
    <row r="666" spans="1:13" x14ac:dyDescent="0.25">
      <c r="A666" s="7" t="s">
        <v>675</v>
      </c>
      <c r="B666" s="11" t="s">
        <v>1231</v>
      </c>
      <c r="C666" s="7">
        <f t="shared" si="40"/>
        <v>8</v>
      </c>
      <c r="D666" s="7" t="str">
        <f t="shared" si="41"/>
        <v>Aug</v>
      </c>
      <c r="E666" s="7" t="s">
        <v>1347</v>
      </c>
      <c r="F666" s="7" t="str">
        <f t="shared" si="42"/>
        <v>Rina Marlina</v>
      </c>
      <c r="G666" s="7" t="s">
        <v>1359</v>
      </c>
      <c r="H666" s="7" t="s">
        <v>1365</v>
      </c>
      <c r="I666" s="7">
        <v>3</v>
      </c>
      <c r="J666" s="7" t="str">
        <f>INDEX(Master_Produk!$C$2:$C$11,MATCH(H666,Master_Produk!$A$2:$A$11,0))</f>
        <v>Elektronik</v>
      </c>
      <c r="K666" s="8">
        <f>INDEX(Master_Produk!$E$2:$E$11,MATCH(Data_Transaksi!H666,Master_Produk!$A$2:$A$11,0))</f>
        <v>1800000</v>
      </c>
      <c r="L666" s="8">
        <f t="shared" si="43"/>
        <v>5400000</v>
      </c>
      <c r="M666" s="8">
        <f>INDEX(Master_Target!$B$2:$M$4, MATCH(J666, Master_Target!$A$2:$A$4, 0), MATCH(TEXT(B666, "[$-421]mmmm"), Master_Target!$B$1:$M$1, 0))</f>
        <v>85000000</v>
      </c>
    </row>
    <row r="667" spans="1:13" x14ac:dyDescent="0.25">
      <c r="A667" s="7" t="s">
        <v>676</v>
      </c>
      <c r="B667" s="11" t="s">
        <v>1231</v>
      </c>
      <c r="C667" s="7">
        <f t="shared" si="40"/>
        <v>8</v>
      </c>
      <c r="D667" s="7" t="str">
        <f t="shared" si="41"/>
        <v>Aug</v>
      </c>
      <c r="E667" s="7" t="s">
        <v>1351</v>
      </c>
      <c r="F667" s="7" t="str">
        <f t="shared" si="42"/>
        <v>Siti Rahma</v>
      </c>
      <c r="G667" s="7" t="s">
        <v>1360</v>
      </c>
      <c r="H667" s="7" t="s">
        <v>1367</v>
      </c>
      <c r="I667" s="7">
        <v>1</v>
      </c>
      <c r="J667" s="7" t="str">
        <f>INDEX(Master_Produk!$C$2:$C$11,MATCH(H667,Master_Produk!$A$2:$A$11,0))</f>
        <v>Elektronik</v>
      </c>
      <c r="K667" s="8">
        <f>INDEX(Master_Produk!$E$2:$E$11,MATCH(Data_Transaksi!H667,Master_Produk!$A$2:$A$11,0))</f>
        <v>250000</v>
      </c>
      <c r="L667" s="8">
        <f t="shared" si="43"/>
        <v>250000</v>
      </c>
      <c r="M667" s="8">
        <f>INDEX(Master_Target!$B$2:$M$4, MATCH(J667, Master_Target!$A$2:$A$4, 0), MATCH(TEXT(B667, "[$-421]mmmm"), Master_Target!$B$1:$M$1, 0))</f>
        <v>85000000</v>
      </c>
    </row>
    <row r="668" spans="1:13" x14ac:dyDescent="0.25">
      <c r="A668" s="7" t="s">
        <v>677</v>
      </c>
      <c r="B668" s="11" t="s">
        <v>1231</v>
      </c>
      <c r="C668" s="7">
        <f t="shared" si="40"/>
        <v>8</v>
      </c>
      <c r="D668" s="7" t="str">
        <f t="shared" si="41"/>
        <v>Aug</v>
      </c>
      <c r="E668" s="7" t="s">
        <v>1349</v>
      </c>
      <c r="F668" s="7" t="str">
        <f t="shared" si="42"/>
        <v>Dewi Lestari</v>
      </c>
      <c r="G668" s="7" t="s">
        <v>1357</v>
      </c>
      <c r="H668" s="7" t="s">
        <v>1362</v>
      </c>
      <c r="I668" s="7">
        <v>3</v>
      </c>
      <c r="J668" s="7" t="str">
        <f>INDEX(Master_Produk!$C$2:$C$11,MATCH(H668,Master_Produk!$A$2:$A$11,0))</f>
        <v>Pakaian</v>
      </c>
      <c r="K668" s="8">
        <f>INDEX(Master_Produk!$E$2:$E$11,MATCH(Data_Transaksi!H668,Master_Produk!$A$2:$A$11,0))</f>
        <v>350000</v>
      </c>
      <c r="L668" s="8">
        <f t="shared" si="43"/>
        <v>1050000</v>
      </c>
      <c r="M668" s="8">
        <f>INDEX(Master_Target!$B$2:$M$4, MATCH(J668, Master_Target!$A$2:$A$4, 0), MATCH(TEXT(B668, "[$-421]mmmm"), Master_Target!$B$1:$M$1, 0))</f>
        <v>25500000</v>
      </c>
    </row>
    <row r="669" spans="1:13" x14ac:dyDescent="0.25">
      <c r="A669" s="7" t="s">
        <v>678</v>
      </c>
      <c r="B669" s="11" t="s">
        <v>1231</v>
      </c>
      <c r="C669" s="7">
        <f t="shared" si="40"/>
        <v>8</v>
      </c>
      <c r="D669" s="7" t="str">
        <f t="shared" si="41"/>
        <v>Aug</v>
      </c>
      <c r="E669" s="7" t="s">
        <v>1347</v>
      </c>
      <c r="F669" s="7" t="str">
        <f t="shared" si="42"/>
        <v>Rina Marlina</v>
      </c>
      <c r="G669" s="7" t="s">
        <v>1358</v>
      </c>
      <c r="H669" s="7" t="s">
        <v>1364</v>
      </c>
      <c r="I669" s="7">
        <v>4</v>
      </c>
      <c r="J669" s="7" t="str">
        <f>INDEX(Master_Produk!$C$2:$C$11,MATCH(H669,Master_Produk!$A$2:$A$11,0))</f>
        <v>Furnitur</v>
      </c>
      <c r="K669" s="8">
        <f>INDEX(Master_Produk!$E$2:$E$11,MATCH(Data_Transaksi!H669,Master_Produk!$A$2:$A$11,0))</f>
        <v>950000</v>
      </c>
      <c r="L669" s="8">
        <f t="shared" si="43"/>
        <v>3800000</v>
      </c>
      <c r="M669" s="8">
        <f>INDEX(Master_Target!$B$2:$M$4, MATCH(J669, Master_Target!$A$2:$A$4, 0), MATCH(TEXT(B669, "[$-421]mmmm"), Master_Target!$B$1:$M$1, 0))</f>
        <v>34000000</v>
      </c>
    </row>
    <row r="670" spans="1:13" x14ac:dyDescent="0.25">
      <c r="A670" s="7" t="s">
        <v>679</v>
      </c>
      <c r="B670" s="11" t="s">
        <v>1232</v>
      </c>
      <c r="C670" s="7">
        <f t="shared" si="40"/>
        <v>8</v>
      </c>
      <c r="D670" s="7" t="str">
        <f t="shared" si="41"/>
        <v>Aug</v>
      </c>
      <c r="E670" s="7" t="s">
        <v>1353</v>
      </c>
      <c r="F670" s="7" t="str">
        <f t="shared" si="42"/>
        <v>Sari Yuliana</v>
      </c>
      <c r="G670" s="7" t="s">
        <v>1359</v>
      </c>
      <c r="H670" s="7" t="s">
        <v>1364</v>
      </c>
      <c r="I670" s="7">
        <v>1</v>
      </c>
      <c r="J670" s="7" t="str">
        <f>INDEX(Master_Produk!$C$2:$C$11,MATCH(H670,Master_Produk!$A$2:$A$11,0))</f>
        <v>Furnitur</v>
      </c>
      <c r="K670" s="8">
        <f>INDEX(Master_Produk!$E$2:$E$11,MATCH(Data_Transaksi!H670,Master_Produk!$A$2:$A$11,0))</f>
        <v>950000</v>
      </c>
      <c r="L670" s="8">
        <f t="shared" si="43"/>
        <v>950000</v>
      </c>
      <c r="M670" s="8">
        <f>INDEX(Master_Target!$B$2:$M$4, MATCH(J670, Master_Target!$A$2:$A$4, 0), MATCH(TEXT(B670, "[$-421]mmmm"), Master_Target!$B$1:$M$1, 0))</f>
        <v>34000000</v>
      </c>
    </row>
    <row r="671" spans="1:13" x14ac:dyDescent="0.25">
      <c r="A671" s="7" t="s">
        <v>680</v>
      </c>
      <c r="B671" s="11" t="s">
        <v>1232</v>
      </c>
      <c r="C671" s="7">
        <f t="shared" si="40"/>
        <v>8</v>
      </c>
      <c r="D671" s="7" t="str">
        <f t="shared" si="41"/>
        <v>Aug</v>
      </c>
      <c r="E671" s="7" t="s">
        <v>1348</v>
      </c>
      <c r="F671" s="7" t="str">
        <f t="shared" si="42"/>
        <v>Budi Santoso</v>
      </c>
      <c r="G671" s="7" t="s">
        <v>1359</v>
      </c>
      <c r="H671" s="7" t="s">
        <v>1363</v>
      </c>
      <c r="I671" s="7">
        <v>1</v>
      </c>
      <c r="J671" s="7" t="str">
        <f>INDEX(Master_Produk!$C$2:$C$11,MATCH(H671,Master_Produk!$A$2:$A$11,0))</f>
        <v>Pakaian</v>
      </c>
      <c r="K671" s="8">
        <f>INDEX(Master_Produk!$E$2:$E$11,MATCH(Data_Transaksi!H671,Master_Produk!$A$2:$A$11,0))</f>
        <v>250000</v>
      </c>
      <c r="L671" s="8">
        <f t="shared" si="43"/>
        <v>250000</v>
      </c>
      <c r="M671" s="8">
        <f>INDEX(Master_Target!$B$2:$M$4, MATCH(J671, Master_Target!$A$2:$A$4, 0), MATCH(TEXT(B671, "[$-421]mmmm"), Master_Target!$B$1:$M$1, 0))</f>
        <v>25500000</v>
      </c>
    </row>
    <row r="672" spans="1:13" x14ac:dyDescent="0.25">
      <c r="A672" s="7" t="s">
        <v>681</v>
      </c>
      <c r="B672" s="11" t="s">
        <v>1232</v>
      </c>
      <c r="C672" s="7">
        <f t="shared" si="40"/>
        <v>8</v>
      </c>
      <c r="D672" s="7" t="str">
        <f t="shared" si="41"/>
        <v>Aug</v>
      </c>
      <c r="E672" s="7" t="s">
        <v>1349</v>
      </c>
      <c r="F672" s="7" t="str">
        <f t="shared" si="42"/>
        <v>Dewi Lestari</v>
      </c>
      <c r="G672" s="7" t="s">
        <v>1357</v>
      </c>
      <c r="H672" s="7" t="s">
        <v>1369</v>
      </c>
      <c r="I672" s="7">
        <v>5</v>
      </c>
      <c r="J672" s="7" t="str">
        <f>INDEX(Master_Produk!$C$2:$C$11,MATCH(H672,Master_Produk!$A$2:$A$11,0))</f>
        <v>Elektronik</v>
      </c>
      <c r="K672" s="8">
        <f>INDEX(Master_Produk!$E$2:$E$11,MATCH(Data_Transaksi!H672,Master_Produk!$A$2:$A$11,0))</f>
        <v>4500000</v>
      </c>
      <c r="L672" s="8">
        <f t="shared" si="43"/>
        <v>22500000</v>
      </c>
      <c r="M672" s="8">
        <f>INDEX(Master_Target!$B$2:$M$4, MATCH(J672, Master_Target!$A$2:$A$4, 0), MATCH(TEXT(B672, "[$-421]mmmm"), Master_Target!$B$1:$M$1, 0))</f>
        <v>85000000</v>
      </c>
    </row>
    <row r="673" spans="1:13" x14ac:dyDescent="0.25">
      <c r="A673" s="7" t="s">
        <v>682</v>
      </c>
      <c r="B673" s="11" t="s">
        <v>1233</v>
      </c>
      <c r="C673" s="7">
        <f t="shared" si="40"/>
        <v>8</v>
      </c>
      <c r="D673" s="7" t="str">
        <f t="shared" si="41"/>
        <v>Aug</v>
      </c>
      <c r="E673" s="7" t="s">
        <v>1353</v>
      </c>
      <c r="F673" s="7" t="str">
        <f t="shared" si="42"/>
        <v>Sari Yuliana</v>
      </c>
      <c r="G673" s="7" t="s">
        <v>1359</v>
      </c>
      <c r="H673" s="7" t="s">
        <v>1366</v>
      </c>
      <c r="I673" s="7">
        <v>1</v>
      </c>
      <c r="J673" s="7" t="str">
        <f>INDEX(Master_Produk!$C$2:$C$11,MATCH(H673,Master_Produk!$A$2:$A$11,0))</f>
        <v>Elektronik</v>
      </c>
      <c r="K673" s="8">
        <f>INDEX(Master_Produk!$E$2:$E$11,MATCH(Data_Transaksi!H673,Master_Produk!$A$2:$A$11,0))</f>
        <v>7500000</v>
      </c>
      <c r="L673" s="8">
        <f t="shared" si="43"/>
        <v>7500000</v>
      </c>
      <c r="M673" s="8">
        <f>INDEX(Master_Target!$B$2:$M$4, MATCH(J673, Master_Target!$A$2:$A$4, 0), MATCH(TEXT(B673, "[$-421]mmmm"), Master_Target!$B$1:$M$1, 0))</f>
        <v>85000000</v>
      </c>
    </row>
    <row r="674" spans="1:13" x14ac:dyDescent="0.25">
      <c r="A674" s="7" t="s">
        <v>683</v>
      </c>
      <c r="B674" s="11" t="s">
        <v>1234</v>
      </c>
      <c r="C674" s="7">
        <f t="shared" si="40"/>
        <v>8</v>
      </c>
      <c r="D674" s="7" t="str">
        <f t="shared" si="41"/>
        <v>Aug</v>
      </c>
      <c r="E674" s="7" t="s">
        <v>1354</v>
      </c>
      <c r="F674" s="7" t="str">
        <f t="shared" si="42"/>
        <v>Mega Utami</v>
      </c>
      <c r="G674" s="7" t="s">
        <v>1358</v>
      </c>
      <c r="H674" s="7" t="s">
        <v>1369</v>
      </c>
      <c r="I674" s="7">
        <v>4</v>
      </c>
      <c r="J674" s="7" t="str">
        <f>INDEX(Master_Produk!$C$2:$C$11,MATCH(H674,Master_Produk!$A$2:$A$11,0))</f>
        <v>Elektronik</v>
      </c>
      <c r="K674" s="8">
        <f>INDEX(Master_Produk!$E$2:$E$11,MATCH(Data_Transaksi!H674,Master_Produk!$A$2:$A$11,0))</f>
        <v>4500000</v>
      </c>
      <c r="L674" s="8">
        <f t="shared" si="43"/>
        <v>18000000</v>
      </c>
      <c r="M674" s="8">
        <f>INDEX(Master_Target!$B$2:$M$4, MATCH(J674, Master_Target!$A$2:$A$4, 0), MATCH(TEXT(B674, "[$-421]mmmm"), Master_Target!$B$1:$M$1, 0))</f>
        <v>85000000</v>
      </c>
    </row>
    <row r="675" spans="1:13" x14ac:dyDescent="0.25">
      <c r="A675" s="7" t="s">
        <v>684</v>
      </c>
      <c r="B675" s="11" t="s">
        <v>1234</v>
      </c>
      <c r="C675" s="7">
        <f t="shared" si="40"/>
        <v>8</v>
      </c>
      <c r="D675" s="7" t="str">
        <f t="shared" si="41"/>
        <v>Aug</v>
      </c>
      <c r="E675" s="7" t="s">
        <v>1354</v>
      </c>
      <c r="F675" s="7" t="str">
        <f t="shared" si="42"/>
        <v>Mega Utami</v>
      </c>
      <c r="G675" s="7" t="s">
        <v>1358</v>
      </c>
      <c r="H675" s="7" t="s">
        <v>1365</v>
      </c>
      <c r="I675" s="7">
        <v>2</v>
      </c>
      <c r="J675" s="7" t="str">
        <f>INDEX(Master_Produk!$C$2:$C$11,MATCH(H675,Master_Produk!$A$2:$A$11,0))</f>
        <v>Elektronik</v>
      </c>
      <c r="K675" s="8">
        <f>INDEX(Master_Produk!$E$2:$E$11,MATCH(Data_Transaksi!H675,Master_Produk!$A$2:$A$11,0))</f>
        <v>1800000</v>
      </c>
      <c r="L675" s="8">
        <f t="shared" si="43"/>
        <v>3600000</v>
      </c>
      <c r="M675" s="8">
        <f>INDEX(Master_Target!$B$2:$M$4, MATCH(J675, Master_Target!$A$2:$A$4, 0), MATCH(TEXT(B675, "[$-421]mmmm"), Master_Target!$B$1:$M$1, 0))</f>
        <v>85000000</v>
      </c>
    </row>
    <row r="676" spans="1:13" x14ac:dyDescent="0.25">
      <c r="A676" s="7" t="s">
        <v>685</v>
      </c>
      <c r="B676" s="11" t="s">
        <v>1234</v>
      </c>
      <c r="C676" s="7">
        <f t="shared" si="40"/>
        <v>8</v>
      </c>
      <c r="D676" s="7" t="str">
        <f t="shared" si="41"/>
        <v>Aug</v>
      </c>
      <c r="E676" s="7" t="s">
        <v>1350</v>
      </c>
      <c r="F676" s="7" t="str">
        <f t="shared" si="42"/>
        <v>Andi Wijaya</v>
      </c>
      <c r="G676" s="7" t="s">
        <v>1359</v>
      </c>
      <c r="H676" s="7" t="s">
        <v>1365</v>
      </c>
      <c r="I676" s="7">
        <v>1</v>
      </c>
      <c r="J676" s="7" t="str">
        <f>INDEX(Master_Produk!$C$2:$C$11,MATCH(H676,Master_Produk!$A$2:$A$11,0))</f>
        <v>Elektronik</v>
      </c>
      <c r="K676" s="8">
        <f>INDEX(Master_Produk!$E$2:$E$11,MATCH(Data_Transaksi!H676,Master_Produk!$A$2:$A$11,0))</f>
        <v>1800000</v>
      </c>
      <c r="L676" s="8">
        <f t="shared" si="43"/>
        <v>1800000</v>
      </c>
      <c r="M676" s="8">
        <f>INDEX(Master_Target!$B$2:$M$4, MATCH(J676, Master_Target!$A$2:$A$4, 0), MATCH(TEXT(B676, "[$-421]mmmm"), Master_Target!$B$1:$M$1, 0))</f>
        <v>85000000</v>
      </c>
    </row>
    <row r="677" spans="1:13" x14ac:dyDescent="0.25">
      <c r="A677" s="7" t="s">
        <v>686</v>
      </c>
      <c r="B677" s="11" t="s">
        <v>1234</v>
      </c>
      <c r="C677" s="7">
        <f t="shared" si="40"/>
        <v>8</v>
      </c>
      <c r="D677" s="7" t="str">
        <f t="shared" si="41"/>
        <v>Aug</v>
      </c>
      <c r="E677" s="7" t="s">
        <v>1347</v>
      </c>
      <c r="F677" s="7" t="str">
        <f t="shared" si="42"/>
        <v>Rina Marlina</v>
      </c>
      <c r="G677" s="7" t="s">
        <v>1360</v>
      </c>
      <c r="H677" s="7" t="s">
        <v>1365</v>
      </c>
      <c r="I677" s="7">
        <v>4</v>
      </c>
      <c r="J677" s="7" t="str">
        <f>INDEX(Master_Produk!$C$2:$C$11,MATCH(H677,Master_Produk!$A$2:$A$11,0))</f>
        <v>Elektronik</v>
      </c>
      <c r="K677" s="8">
        <f>INDEX(Master_Produk!$E$2:$E$11,MATCH(Data_Transaksi!H677,Master_Produk!$A$2:$A$11,0))</f>
        <v>1800000</v>
      </c>
      <c r="L677" s="8">
        <f t="shared" si="43"/>
        <v>7200000</v>
      </c>
      <c r="M677" s="8">
        <f>INDEX(Master_Target!$B$2:$M$4, MATCH(J677, Master_Target!$A$2:$A$4, 0), MATCH(TEXT(B677, "[$-421]mmmm"), Master_Target!$B$1:$M$1, 0))</f>
        <v>85000000</v>
      </c>
    </row>
    <row r="678" spans="1:13" x14ac:dyDescent="0.25">
      <c r="A678" s="7" t="s">
        <v>687</v>
      </c>
      <c r="B678" s="11" t="s">
        <v>1235</v>
      </c>
      <c r="C678" s="7">
        <f t="shared" si="40"/>
        <v>8</v>
      </c>
      <c r="D678" s="7" t="str">
        <f t="shared" si="41"/>
        <v>Aug</v>
      </c>
      <c r="E678" s="7" t="s">
        <v>1353</v>
      </c>
      <c r="F678" s="7" t="str">
        <f t="shared" si="42"/>
        <v>Sari Yuliana</v>
      </c>
      <c r="G678" s="7" t="s">
        <v>1360</v>
      </c>
      <c r="H678" s="7" t="s">
        <v>1368</v>
      </c>
      <c r="I678" s="7">
        <v>2</v>
      </c>
      <c r="J678" s="7" t="str">
        <f>INDEX(Master_Produk!$C$2:$C$11,MATCH(H678,Master_Produk!$A$2:$A$11,0))</f>
        <v>Furnitur</v>
      </c>
      <c r="K678" s="8">
        <f>INDEX(Master_Produk!$E$2:$E$11,MATCH(Data_Transaksi!H678,Master_Produk!$A$2:$A$11,0))</f>
        <v>650000</v>
      </c>
      <c r="L678" s="8">
        <f t="shared" si="43"/>
        <v>1300000</v>
      </c>
      <c r="M678" s="8">
        <f>INDEX(Master_Target!$B$2:$M$4, MATCH(J678, Master_Target!$A$2:$A$4, 0), MATCH(TEXT(B678, "[$-421]mmmm"), Master_Target!$B$1:$M$1, 0))</f>
        <v>34000000</v>
      </c>
    </row>
    <row r="679" spans="1:13" x14ac:dyDescent="0.25">
      <c r="A679" s="7" t="s">
        <v>688</v>
      </c>
      <c r="B679" s="11" t="s">
        <v>1235</v>
      </c>
      <c r="C679" s="7">
        <f t="shared" si="40"/>
        <v>8</v>
      </c>
      <c r="D679" s="7" t="str">
        <f t="shared" si="41"/>
        <v>Aug</v>
      </c>
      <c r="E679" s="7" t="s">
        <v>1350</v>
      </c>
      <c r="F679" s="7" t="str">
        <f t="shared" si="42"/>
        <v>Andi Wijaya</v>
      </c>
      <c r="G679" s="7" t="s">
        <v>1358</v>
      </c>
      <c r="H679" s="7" t="s">
        <v>1367</v>
      </c>
      <c r="I679" s="7">
        <v>2</v>
      </c>
      <c r="J679" s="7" t="str">
        <f>INDEX(Master_Produk!$C$2:$C$11,MATCH(H679,Master_Produk!$A$2:$A$11,0))</f>
        <v>Elektronik</v>
      </c>
      <c r="K679" s="8">
        <f>INDEX(Master_Produk!$E$2:$E$11,MATCH(Data_Transaksi!H679,Master_Produk!$A$2:$A$11,0))</f>
        <v>250000</v>
      </c>
      <c r="L679" s="8">
        <f t="shared" si="43"/>
        <v>500000</v>
      </c>
      <c r="M679" s="8">
        <f>INDEX(Master_Target!$B$2:$M$4, MATCH(J679, Master_Target!$A$2:$A$4, 0), MATCH(TEXT(B679, "[$-421]mmmm"), Master_Target!$B$1:$M$1, 0))</f>
        <v>85000000</v>
      </c>
    </row>
    <row r="680" spans="1:13" x14ac:dyDescent="0.25">
      <c r="A680" s="7" t="s">
        <v>689</v>
      </c>
      <c r="B680" s="11" t="s">
        <v>1236</v>
      </c>
      <c r="C680" s="7">
        <f t="shared" si="40"/>
        <v>9</v>
      </c>
      <c r="D680" s="7" t="str">
        <f t="shared" si="41"/>
        <v>Sep</v>
      </c>
      <c r="E680" s="7" t="s">
        <v>1347</v>
      </c>
      <c r="F680" s="7" t="str">
        <f t="shared" si="42"/>
        <v>Rina Marlina</v>
      </c>
      <c r="G680" s="7" t="s">
        <v>1360</v>
      </c>
      <c r="H680" s="7" t="s">
        <v>1366</v>
      </c>
      <c r="I680" s="7">
        <v>1</v>
      </c>
      <c r="J680" s="7" t="str">
        <f>INDEX(Master_Produk!$C$2:$C$11,MATCH(H680,Master_Produk!$A$2:$A$11,0))</f>
        <v>Elektronik</v>
      </c>
      <c r="K680" s="8">
        <f>INDEX(Master_Produk!$E$2:$E$11,MATCH(Data_Transaksi!H680,Master_Produk!$A$2:$A$11,0))</f>
        <v>7500000</v>
      </c>
      <c r="L680" s="8">
        <f t="shared" si="43"/>
        <v>7500000</v>
      </c>
      <c r="M680" s="8">
        <f>INDEX(Master_Target!$B$2:$M$4, MATCH(J680, Master_Target!$A$2:$A$4, 0), MATCH(TEXT(B680, "[$-421]mmmm"), Master_Target!$B$1:$M$1, 0))</f>
        <v>90000000</v>
      </c>
    </row>
    <row r="681" spans="1:13" x14ac:dyDescent="0.25">
      <c r="A681" s="7" t="s">
        <v>690</v>
      </c>
      <c r="B681" s="11" t="s">
        <v>1237</v>
      </c>
      <c r="C681" s="7">
        <f t="shared" si="40"/>
        <v>9</v>
      </c>
      <c r="D681" s="7" t="str">
        <f t="shared" si="41"/>
        <v>Sep</v>
      </c>
      <c r="E681" s="7" t="s">
        <v>1349</v>
      </c>
      <c r="F681" s="7" t="str">
        <f t="shared" si="42"/>
        <v>Dewi Lestari</v>
      </c>
      <c r="G681" s="7" t="s">
        <v>1357</v>
      </c>
      <c r="H681" s="7" t="s">
        <v>1366</v>
      </c>
      <c r="I681" s="7">
        <v>2</v>
      </c>
      <c r="J681" s="7" t="str">
        <f>INDEX(Master_Produk!$C$2:$C$11,MATCH(H681,Master_Produk!$A$2:$A$11,0))</f>
        <v>Elektronik</v>
      </c>
      <c r="K681" s="8">
        <f>INDEX(Master_Produk!$E$2:$E$11,MATCH(Data_Transaksi!H681,Master_Produk!$A$2:$A$11,0))</f>
        <v>7500000</v>
      </c>
      <c r="L681" s="8">
        <f t="shared" si="43"/>
        <v>15000000</v>
      </c>
      <c r="M681" s="8">
        <f>INDEX(Master_Target!$B$2:$M$4, MATCH(J681, Master_Target!$A$2:$A$4, 0), MATCH(TEXT(B681, "[$-421]mmmm"), Master_Target!$B$1:$M$1, 0))</f>
        <v>90000000</v>
      </c>
    </row>
    <row r="682" spans="1:13" x14ac:dyDescent="0.25">
      <c r="A682" s="7" t="s">
        <v>691</v>
      </c>
      <c r="B682" s="11" t="s">
        <v>1237</v>
      </c>
      <c r="C682" s="7">
        <f t="shared" si="40"/>
        <v>9</v>
      </c>
      <c r="D682" s="7" t="str">
        <f t="shared" si="41"/>
        <v>Sep</v>
      </c>
      <c r="E682" s="7" t="s">
        <v>1353</v>
      </c>
      <c r="F682" s="7" t="str">
        <f t="shared" si="42"/>
        <v>Sari Yuliana</v>
      </c>
      <c r="G682" s="7" t="s">
        <v>1361</v>
      </c>
      <c r="H682" s="7" t="s">
        <v>1370</v>
      </c>
      <c r="I682" s="7">
        <v>1</v>
      </c>
      <c r="J682" s="7" t="str">
        <f>INDEX(Master_Produk!$C$2:$C$11,MATCH(H682,Master_Produk!$A$2:$A$11,0))</f>
        <v>Furnitur</v>
      </c>
      <c r="K682" s="8">
        <f>INDEX(Master_Produk!$E$2:$E$11,MATCH(Data_Transaksi!H682,Master_Produk!$A$2:$A$11,0))</f>
        <v>1200000</v>
      </c>
      <c r="L682" s="8">
        <f t="shared" si="43"/>
        <v>1200000</v>
      </c>
      <c r="M682" s="8">
        <f>INDEX(Master_Target!$B$2:$M$4, MATCH(J682, Master_Target!$A$2:$A$4, 0), MATCH(TEXT(B682, "[$-421]mmmm"), Master_Target!$B$1:$M$1, 0))</f>
        <v>36000000</v>
      </c>
    </row>
    <row r="683" spans="1:13" x14ac:dyDescent="0.25">
      <c r="A683" s="7" t="s">
        <v>692</v>
      </c>
      <c r="B683" s="11" t="s">
        <v>1238</v>
      </c>
      <c r="C683" s="7">
        <f t="shared" si="40"/>
        <v>9</v>
      </c>
      <c r="D683" s="7" t="str">
        <f t="shared" si="41"/>
        <v>Sep</v>
      </c>
      <c r="E683" s="7" t="s">
        <v>1347</v>
      </c>
      <c r="F683" s="7" t="str">
        <f t="shared" si="42"/>
        <v>Rina Marlina</v>
      </c>
      <c r="G683" s="7" t="s">
        <v>1359</v>
      </c>
      <c r="H683" s="7" t="s">
        <v>1369</v>
      </c>
      <c r="I683" s="7">
        <v>1</v>
      </c>
      <c r="J683" s="7" t="str">
        <f>INDEX(Master_Produk!$C$2:$C$11,MATCH(H683,Master_Produk!$A$2:$A$11,0))</f>
        <v>Elektronik</v>
      </c>
      <c r="K683" s="8">
        <f>INDEX(Master_Produk!$E$2:$E$11,MATCH(Data_Transaksi!H683,Master_Produk!$A$2:$A$11,0))</f>
        <v>4500000</v>
      </c>
      <c r="L683" s="8">
        <f t="shared" si="43"/>
        <v>4500000</v>
      </c>
      <c r="M683" s="8">
        <f>INDEX(Master_Target!$B$2:$M$4, MATCH(J683, Master_Target!$A$2:$A$4, 0), MATCH(TEXT(B683, "[$-421]mmmm"), Master_Target!$B$1:$M$1, 0))</f>
        <v>90000000</v>
      </c>
    </row>
    <row r="684" spans="1:13" x14ac:dyDescent="0.25">
      <c r="A684" s="7" t="s">
        <v>693</v>
      </c>
      <c r="B684" s="11" t="s">
        <v>1238</v>
      </c>
      <c r="C684" s="7">
        <f t="shared" si="40"/>
        <v>9</v>
      </c>
      <c r="D684" s="7" t="str">
        <f t="shared" si="41"/>
        <v>Sep</v>
      </c>
      <c r="E684" s="7" t="s">
        <v>1353</v>
      </c>
      <c r="F684" s="7" t="str">
        <f t="shared" si="42"/>
        <v>Sari Yuliana</v>
      </c>
      <c r="G684" s="7" t="s">
        <v>1357</v>
      </c>
      <c r="H684" s="7" t="s">
        <v>1367</v>
      </c>
      <c r="I684" s="7">
        <v>5</v>
      </c>
      <c r="J684" s="7" t="str">
        <f>INDEX(Master_Produk!$C$2:$C$11,MATCH(H684,Master_Produk!$A$2:$A$11,0))</f>
        <v>Elektronik</v>
      </c>
      <c r="K684" s="8">
        <f>INDEX(Master_Produk!$E$2:$E$11,MATCH(Data_Transaksi!H684,Master_Produk!$A$2:$A$11,0))</f>
        <v>250000</v>
      </c>
      <c r="L684" s="8">
        <f t="shared" si="43"/>
        <v>1250000</v>
      </c>
      <c r="M684" s="8">
        <f>INDEX(Master_Target!$B$2:$M$4, MATCH(J684, Master_Target!$A$2:$A$4, 0), MATCH(TEXT(B684, "[$-421]mmmm"), Master_Target!$B$1:$M$1, 0))</f>
        <v>90000000</v>
      </c>
    </row>
    <row r="685" spans="1:13" x14ac:dyDescent="0.25">
      <c r="A685" s="7" t="s">
        <v>694</v>
      </c>
      <c r="B685" s="11" t="s">
        <v>1238</v>
      </c>
      <c r="C685" s="7">
        <f t="shared" si="40"/>
        <v>9</v>
      </c>
      <c r="D685" s="7" t="str">
        <f t="shared" si="41"/>
        <v>Sep</v>
      </c>
      <c r="E685" s="7" t="s">
        <v>1348</v>
      </c>
      <c r="F685" s="7" t="str">
        <f t="shared" si="42"/>
        <v>Budi Santoso</v>
      </c>
      <c r="G685" s="7" t="s">
        <v>1358</v>
      </c>
      <c r="H685" s="7" t="s">
        <v>1365</v>
      </c>
      <c r="I685" s="7">
        <v>1</v>
      </c>
      <c r="J685" s="7" t="str">
        <f>INDEX(Master_Produk!$C$2:$C$11,MATCH(H685,Master_Produk!$A$2:$A$11,0))</f>
        <v>Elektronik</v>
      </c>
      <c r="K685" s="8">
        <f>INDEX(Master_Produk!$E$2:$E$11,MATCH(Data_Transaksi!H685,Master_Produk!$A$2:$A$11,0))</f>
        <v>1800000</v>
      </c>
      <c r="L685" s="8">
        <f t="shared" si="43"/>
        <v>1800000</v>
      </c>
      <c r="M685" s="8">
        <f>INDEX(Master_Target!$B$2:$M$4, MATCH(J685, Master_Target!$A$2:$A$4, 0), MATCH(TEXT(B685, "[$-421]mmmm"), Master_Target!$B$1:$M$1, 0))</f>
        <v>90000000</v>
      </c>
    </row>
    <row r="686" spans="1:13" x14ac:dyDescent="0.25">
      <c r="A686" s="7" t="s">
        <v>695</v>
      </c>
      <c r="B686" s="11" t="s">
        <v>1238</v>
      </c>
      <c r="C686" s="7">
        <f t="shared" si="40"/>
        <v>9</v>
      </c>
      <c r="D686" s="7" t="str">
        <f t="shared" si="41"/>
        <v>Sep</v>
      </c>
      <c r="E686" s="7" t="s">
        <v>1356</v>
      </c>
      <c r="F686" s="7" t="str">
        <f t="shared" si="42"/>
        <v>Eko Prasetyo</v>
      </c>
      <c r="G686" s="7" t="s">
        <v>1361</v>
      </c>
      <c r="H686" s="7" t="s">
        <v>1371</v>
      </c>
      <c r="I686" s="7">
        <v>2</v>
      </c>
      <c r="J686" s="7" t="str">
        <f>INDEX(Master_Produk!$C$2:$C$11,MATCH(H686,Master_Produk!$A$2:$A$11,0))</f>
        <v>Pakaian</v>
      </c>
      <c r="K686" s="8">
        <f>INDEX(Master_Produk!$E$2:$E$11,MATCH(Data_Transaksi!H686,Master_Produk!$A$2:$A$11,0))</f>
        <v>280000</v>
      </c>
      <c r="L686" s="8">
        <f t="shared" si="43"/>
        <v>560000</v>
      </c>
      <c r="M686" s="8">
        <f>INDEX(Master_Target!$B$2:$M$4, MATCH(J686, Master_Target!$A$2:$A$4, 0), MATCH(TEXT(B686, "[$-421]mmmm"), Master_Target!$B$1:$M$1, 0))</f>
        <v>27000000</v>
      </c>
    </row>
    <row r="687" spans="1:13" x14ac:dyDescent="0.25">
      <c r="A687" s="7" t="s">
        <v>696</v>
      </c>
      <c r="B687" s="11" t="s">
        <v>1238</v>
      </c>
      <c r="C687" s="7">
        <f t="shared" si="40"/>
        <v>9</v>
      </c>
      <c r="D687" s="7" t="str">
        <f t="shared" si="41"/>
        <v>Sep</v>
      </c>
      <c r="E687" s="7" t="s">
        <v>1352</v>
      </c>
      <c r="F687" s="7" t="str">
        <f t="shared" si="42"/>
        <v>Ahmad Fauzi</v>
      </c>
      <c r="G687" s="7" t="s">
        <v>1358</v>
      </c>
      <c r="H687" s="7" t="s">
        <v>1362</v>
      </c>
      <c r="I687" s="7">
        <v>1</v>
      </c>
      <c r="J687" s="7" t="str">
        <f>INDEX(Master_Produk!$C$2:$C$11,MATCH(H687,Master_Produk!$A$2:$A$11,0))</f>
        <v>Pakaian</v>
      </c>
      <c r="K687" s="8">
        <f>INDEX(Master_Produk!$E$2:$E$11,MATCH(Data_Transaksi!H687,Master_Produk!$A$2:$A$11,0))</f>
        <v>350000</v>
      </c>
      <c r="L687" s="8">
        <f t="shared" si="43"/>
        <v>350000</v>
      </c>
      <c r="M687" s="8">
        <f>INDEX(Master_Target!$B$2:$M$4, MATCH(J687, Master_Target!$A$2:$A$4, 0), MATCH(TEXT(B687, "[$-421]mmmm"), Master_Target!$B$1:$M$1, 0))</f>
        <v>27000000</v>
      </c>
    </row>
    <row r="688" spans="1:13" x14ac:dyDescent="0.25">
      <c r="A688" s="7" t="s">
        <v>697</v>
      </c>
      <c r="B688" s="11" t="s">
        <v>1238</v>
      </c>
      <c r="C688" s="7">
        <f t="shared" si="40"/>
        <v>9</v>
      </c>
      <c r="D688" s="7" t="str">
        <f t="shared" si="41"/>
        <v>Sep</v>
      </c>
      <c r="E688" s="7" t="s">
        <v>1354</v>
      </c>
      <c r="F688" s="7" t="str">
        <f t="shared" si="42"/>
        <v>Mega Utami</v>
      </c>
      <c r="G688" s="7" t="s">
        <v>1361</v>
      </c>
      <c r="H688" s="7" t="s">
        <v>1369</v>
      </c>
      <c r="I688" s="7">
        <v>3</v>
      </c>
      <c r="J688" s="7" t="str">
        <f>INDEX(Master_Produk!$C$2:$C$11,MATCH(H688,Master_Produk!$A$2:$A$11,0))</f>
        <v>Elektronik</v>
      </c>
      <c r="K688" s="8">
        <f>INDEX(Master_Produk!$E$2:$E$11,MATCH(Data_Transaksi!H688,Master_Produk!$A$2:$A$11,0))</f>
        <v>4500000</v>
      </c>
      <c r="L688" s="8">
        <f t="shared" si="43"/>
        <v>13500000</v>
      </c>
      <c r="M688" s="8">
        <f>INDEX(Master_Target!$B$2:$M$4, MATCH(J688, Master_Target!$A$2:$A$4, 0), MATCH(TEXT(B688, "[$-421]mmmm"), Master_Target!$B$1:$M$1, 0))</f>
        <v>90000000</v>
      </c>
    </row>
    <row r="689" spans="1:13" x14ac:dyDescent="0.25">
      <c r="A689" s="7" t="s">
        <v>698</v>
      </c>
      <c r="B689" s="11" t="s">
        <v>1239</v>
      </c>
      <c r="C689" s="7">
        <f t="shared" si="40"/>
        <v>9</v>
      </c>
      <c r="D689" s="7" t="str">
        <f t="shared" si="41"/>
        <v>Sep</v>
      </c>
      <c r="E689" s="7" t="s">
        <v>1356</v>
      </c>
      <c r="F689" s="7" t="str">
        <f t="shared" si="42"/>
        <v>Eko Prasetyo</v>
      </c>
      <c r="G689" s="7" t="s">
        <v>1357</v>
      </c>
      <c r="H689" s="7" t="s">
        <v>1368</v>
      </c>
      <c r="I689" s="7">
        <v>1</v>
      </c>
      <c r="J689" s="7" t="str">
        <f>INDEX(Master_Produk!$C$2:$C$11,MATCH(H689,Master_Produk!$A$2:$A$11,0))</f>
        <v>Furnitur</v>
      </c>
      <c r="K689" s="8">
        <f>INDEX(Master_Produk!$E$2:$E$11,MATCH(Data_Transaksi!H689,Master_Produk!$A$2:$A$11,0))</f>
        <v>650000</v>
      </c>
      <c r="L689" s="8">
        <f t="shared" si="43"/>
        <v>650000</v>
      </c>
      <c r="M689" s="8">
        <f>INDEX(Master_Target!$B$2:$M$4, MATCH(J689, Master_Target!$A$2:$A$4, 0), MATCH(TEXT(B689, "[$-421]mmmm"), Master_Target!$B$1:$M$1, 0))</f>
        <v>36000000</v>
      </c>
    </row>
    <row r="690" spans="1:13" x14ac:dyDescent="0.25">
      <c r="A690" s="7" t="s">
        <v>699</v>
      </c>
      <c r="B690" s="11" t="s">
        <v>1239</v>
      </c>
      <c r="C690" s="7">
        <f t="shared" si="40"/>
        <v>9</v>
      </c>
      <c r="D690" s="7" t="str">
        <f t="shared" si="41"/>
        <v>Sep</v>
      </c>
      <c r="E690" s="7" t="s">
        <v>1347</v>
      </c>
      <c r="F690" s="7" t="str">
        <f t="shared" si="42"/>
        <v>Rina Marlina</v>
      </c>
      <c r="G690" s="7" t="s">
        <v>1361</v>
      </c>
      <c r="H690" s="7" t="s">
        <v>1366</v>
      </c>
      <c r="I690" s="7">
        <v>5</v>
      </c>
      <c r="J690" s="7" t="str">
        <f>INDEX(Master_Produk!$C$2:$C$11,MATCH(H690,Master_Produk!$A$2:$A$11,0))</f>
        <v>Elektronik</v>
      </c>
      <c r="K690" s="8">
        <f>INDEX(Master_Produk!$E$2:$E$11,MATCH(Data_Transaksi!H690,Master_Produk!$A$2:$A$11,0))</f>
        <v>7500000</v>
      </c>
      <c r="L690" s="8">
        <f t="shared" si="43"/>
        <v>37500000</v>
      </c>
      <c r="M690" s="8">
        <f>INDEX(Master_Target!$B$2:$M$4, MATCH(J690, Master_Target!$A$2:$A$4, 0), MATCH(TEXT(B690, "[$-421]mmmm"), Master_Target!$B$1:$M$1, 0))</f>
        <v>90000000</v>
      </c>
    </row>
    <row r="691" spans="1:13" x14ac:dyDescent="0.25">
      <c r="A691" s="7" t="s">
        <v>700</v>
      </c>
      <c r="B691" s="11" t="s">
        <v>1239</v>
      </c>
      <c r="C691" s="7">
        <f t="shared" si="40"/>
        <v>9</v>
      </c>
      <c r="D691" s="7" t="str">
        <f t="shared" si="41"/>
        <v>Sep</v>
      </c>
      <c r="E691" s="7" t="s">
        <v>1352</v>
      </c>
      <c r="F691" s="7" t="str">
        <f t="shared" si="42"/>
        <v>Ahmad Fauzi</v>
      </c>
      <c r="G691" s="7" t="s">
        <v>1360</v>
      </c>
      <c r="H691" s="7" t="s">
        <v>1364</v>
      </c>
      <c r="I691" s="7">
        <v>2</v>
      </c>
      <c r="J691" s="7" t="str">
        <f>INDEX(Master_Produk!$C$2:$C$11,MATCH(H691,Master_Produk!$A$2:$A$11,0))</f>
        <v>Furnitur</v>
      </c>
      <c r="K691" s="8">
        <f>INDEX(Master_Produk!$E$2:$E$11,MATCH(Data_Transaksi!H691,Master_Produk!$A$2:$A$11,0))</f>
        <v>950000</v>
      </c>
      <c r="L691" s="8">
        <f t="shared" si="43"/>
        <v>1900000</v>
      </c>
      <c r="M691" s="8">
        <f>INDEX(Master_Target!$B$2:$M$4, MATCH(J691, Master_Target!$A$2:$A$4, 0), MATCH(TEXT(B691, "[$-421]mmmm"), Master_Target!$B$1:$M$1, 0))</f>
        <v>36000000</v>
      </c>
    </row>
    <row r="692" spans="1:13" x14ac:dyDescent="0.25">
      <c r="A692" s="7" t="s">
        <v>701</v>
      </c>
      <c r="B692" s="11" t="s">
        <v>1239</v>
      </c>
      <c r="C692" s="7">
        <f t="shared" si="40"/>
        <v>9</v>
      </c>
      <c r="D692" s="7" t="str">
        <f t="shared" si="41"/>
        <v>Sep</v>
      </c>
      <c r="E692" s="7" t="s">
        <v>1356</v>
      </c>
      <c r="F692" s="7" t="str">
        <f t="shared" si="42"/>
        <v>Eko Prasetyo</v>
      </c>
      <c r="G692" s="7" t="s">
        <v>1357</v>
      </c>
      <c r="H692" s="7" t="s">
        <v>1364</v>
      </c>
      <c r="I692" s="7">
        <v>1</v>
      </c>
      <c r="J692" s="7" t="str">
        <f>INDEX(Master_Produk!$C$2:$C$11,MATCH(H692,Master_Produk!$A$2:$A$11,0))</f>
        <v>Furnitur</v>
      </c>
      <c r="K692" s="8">
        <f>INDEX(Master_Produk!$E$2:$E$11,MATCH(Data_Transaksi!H692,Master_Produk!$A$2:$A$11,0))</f>
        <v>950000</v>
      </c>
      <c r="L692" s="8">
        <f t="shared" si="43"/>
        <v>950000</v>
      </c>
      <c r="M692" s="8">
        <f>INDEX(Master_Target!$B$2:$M$4, MATCH(J692, Master_Target!$A$2:$A$4, 0), MATCH(TEXT(B692, "[$-421]mmmm"), Master_Target!$B$1:$M$1, 0))</f>
        <v>36000000</v>
      </c>
    </row>
    <row r="693" spans="1:13" x14ac:dyDescent="0.25">
      <c r="A693" s="7" t="s">
        <v>702</v>
      </c>
      <c r="B693" s="11" t="s">
        <v>1240</v>
      </c>
      <c r="C693" s="7">
        <f t="shared" si="40"/>
        <v>9</v>
      </c>
      <c r="D693" s="7" t="str">
        <f t="shared" si="41"/>
        <v>Sep</v>
      </c>
      <c r="E693" s="7" t="s">
        <v>1348</v>
      </c>
      <c r="F693" s="7" t="str">
        <f t="shared" si="42"/>
        <v>Budi Santoso</v>
      </c>
      <c r="G693" s="7" t="s">
        <v>1359</v>
      </c>
      <c r="H693" s="7" t="s">
        <v>1362</v>
      </c>
      <c r="I693" s="7">
        <v>1</v>
      </c>
      <c r="J693" s="7" t="str">
        <f>INDEX(Master_Produk!$C$2:$C$11,MATCH(H693,Master_Produk!$A$2:$A$11,0))</f>
        <v>Pakaian</v>
      </c>
      <c r="K693" s="8">
        <f>INDEX(Master_Produk!$E$2:$E$11,MATCH(Data_Transaksi!H693,Master_Produk!$A$2:$A$11,0))</f>
        <v>350000</v>
      </c>
      <c r="L693" s="8">
        <f t="shared" si="43"/>
        <v>350000</v>
      </c>
      <c r="M693" s="8">
        <f>INDEX(Master_Target!$B$2:$M$4, MATCH(J693, Master_Target!$A$2:$A$4, 0), MATCH(TEXT(B693, "[$-421]mmmm"), Master_Target!$B$1:$M$1, 0))</f>
        <v>27000000</v>
      </c>
    </row>
    <row r="694" spans="1:13" x14ac:dyDescent="0.25">
      <c r="A694" s="7" t="s">
        <v>703</v>
      </c>
      <c r="B694" s="11" t="s">
        <v>1240</v>
      </c>
      <c r="C694" s="7">
        <f t="shared" si="40"/>
        <v>9</v>
      </c>
      <c r="D694" s="7" t="str">
        <f t="shared" si="41"/>
        <v>Sep</v>
      </c>
      <c r="E694" s="7" t="s">
        <v>1354</v>
      </c>
      <c r="F694" s="7" t="str">
        <f t="shared" si="42"/>
        <v>Mega Utami</v>
      </c>
      <c r="G694" s="7" t="s">
        <v>1358</v>
      </c>
      <c r="H694" s="7" t="s">
        <v>1367</v>
      </c>
      <c r="I694" s="7">
        <v>1</v>
      </c>
      <c r="J694" s="7" t="str">
        <f>INDEX(Master_Produk!$C$2:$C$11,MATCH(H694,Master_Produk!$A$2:$A$11,0))</f>
        <v>Elektronik</v>
      </c>
      <c r="K694" s="8">
        <f>INDEX(Master_Produk!$E$2:$E$11,MATCH(Data_Transaksi!H694,Master_Produk!$A$2:$A$11,0))</f>
        <v>250000</v>
      </c>
      <c r="L694" s="8">
        <f t="shared" si="43"/>
        <v>250000</v>
      </c>
      <c r="M694" s="8">
        <f>INDEX(Master_Target!$B$2:$M$4, MATCH(J694, Master_Target!$A$2:$A$4, 0), MATCH(TEXT(B694, "[$-421]mmmm"), Master_Target!$B$1:$M$1, 0))</f>
        <v>90000000</v>
      </c>
    </row>
    <row r="695" spans="1:13" x14ac:dyDescent="0.25">
      <c r="A695" s="7" t="s">
        <v>704</v>
      </c>
      <c r="B695" s="11" t="s">
        <v>1240</v>
      </c>
      <c r="C695" s="7">
        <f t="shared" si="40"/>
        <v>9</v>
      </c>
      <c r="D695" s="7" t="str">
        <f t="shared" si="41"/>
        <v>Sep</v>
      </c>
      <c r="E695" s="7" t="s">
        <v>1355</v>
      </c>
      <c r="F695" s="7" t="str">
        <f t="shared" si="42"/>
        <v>Bambang H.</v>
      </c>
      <c r="G695" s="7" t="s">
        <v>1360</v>
      </c>
      <c r="H695" s="7" t="s">
        <v>1363</v>
      </c>
      <c r="I695" s="7">
        <v>2</v>
      </c>
      <c r="J695" s="7" t="str">
        <f>INDEX(Master_Produk!$C$2:$C$11,MATCH(H695,Master_Produk!$A$2:$A$11,0))</f>
        <v>Pakaian</v>
      </c>
      <c r="K695" s="8">
        <f>INDEX(Master_Produk!$E$2:$E$11,MATCH(Data_Transaksi!H695,Master_Produk!$A$2:$A$11,0))</f>
        <v>250000</v>
      </c>
      <c r="L695" s="8">
        <f t="shared" si="43"/>
        <v>500000</v>
      </c>
      <c r="M695" s="8">
        <f>INDEX(Master_Target!$B$2:$M$4, MATCH(J695, Master_Target!$A$2:$A$4, 0), MATCH(TEXT(B695, "[$-421]mmmm"), Master_Target!$B$1:$M$1, 0))</f>
        <v>27000000</v>
      </c>
    </row>
    <row r="696" spans="1:13" x14ac:dyDescent="0.25">
      <c r="A696" s="7" t="s">
        <v>705</v>
      </c>
      <c r="B696" s="11" t="s">
        <v>1241</v>
      </c>
      <c r="C696" s="7">
        <f t="shared" si="40"/>
        <v>9</v>
      </c>
      <c r="D696" s="7" t="str">
        <f t="shared" si="41"/>
        <v>Sep</v>
      </c>
      <c r="E696" s="7" t="s">
        <v>1347</v>
      </c>
      <c r="F696" s="7" t="str">
        <f t="shared" si="42"/>
        <v>Rina Marlina</v>
      </c>
      <c r="G696" s="7" t="s">
        <v>1359</v>
      </c>
      <c r="H696" s="7" t="s">
        <v>1366</v>
      </c>
      <c r="I696" s="7">
        <v>1</v>
      </c>
      <c r="J696" s="7" t="str">
        <f>INDEX(Master_Produk!$C$2:$C$11,MATCH(H696,Master_Produk!$A$2:$A$11,0))</f>
        <v>Elektronik</v>
      </c>
      <c r="K696" s="8">
        <f>INDEX(Master_Produk!$E$2:$E$11,MATCH(Data_Transaksi!H696,Master_Produk!$A$2:$A$11,0))</f>
        <v>7500000</v>
      </c>
      <c r="L696" s="8">
        <f t="shared" si="43"/>
        <v>7500000</v>
      </c>
      <c r="M696" s="8">
        <f>INDEX(Master_Target!$B$2:$M$4, MATCH(J696, Master_Target!$A$2:$A$4, 0), MATCH(TEXT(B696, "[$-421]mmmm"), Master_Target!$B$1:$M$1, 0))</f>
        <v>90000000</v>
      </c>
    </row>
    <row r="697" spans="1:13" x14ac:dyDescent="0.25">
      <c r="A697" s="7" t="s">
        <v>706</v>
      </c>
      <c r="B697" s="11" t="s">
        <v>1241</v>
      </c>
      <c r="C697" s="7">
        <f t="shared" si="40"/>
        <v>9</v>
      </c>
      <c r="D697" s="7" t="str">
        <f t="shared" si="41"/>
        <v>Sep</v>
      </c>
      <c r="E697" s="7" t="s">
        <v>1354</v>
      </c>
      <c r="F697" s="7" t="str">
        <f t="shared" si="42"/>
        <v>Mega Utami</v>
      </c>
      <c r="G697" s="7" t="s">
        <v>1361</v>
      </c>
      <c r="H697" s="7" t="s">
        <v>1369</v>
      </c>
      <c r="I697" s="7">
        <v>3</v>
      </c>
      <c r="J697" s="7" t="str">
        <f>INDEX(Master_Produk!$C$2:$C$11,MATCH(H697,Master_Produk!$A$2:$A$11,0))</f>
        <v>Elektronik</v>
      </c>
      <c r="K697" s="8">
        <f>INDEX(Master_Produk!$E$2:$E$11,MATCH(Data_Transaksi!H697,Master_Produk!$A$2:$A$11,0))</f>
        <v>4500000</v>
      </c>
      <c r="L697" s="8">
        <f t="shared" si="43"/>
        <v>13500000</v>
      </c>
      <c r="M697" s="8">
        <f>INDEX(Master_Target!$B$2:$M$4, MATCH(J697, Master_Target!$A$2:$A$4, 0), MATCH(TEXT(B697, "[$-421]mmmm"), Master_Target!$B$1:$M$1, 0))</f>
        <v>90000000</v>
      </c>
    </row>
    <row r="698" spans="1:13" x14ac:dyDescent="0.25">
      <c r="A698" s="7" t="s">
        <v>707</v>
      </c>
      <c r="B698" s="11" t="s">
        <v>1242</v>
      </c>
      <c r="C698" s="7">
        <f t="shared" si="40"/>
        <v>9</v>
      </c>
      <c r="D698" s="7" t="str">
        <f t="shared" si="41"/>
        <v>Sep</v>
      </c>
      <c r="E698" s="7" t="s">
        <v>1356</v>
      </c>
      <c r="F698" s="7" t="str">
        <f t="shared" si="42"/>
        <v>Eko Prasetyo</v>
      </c>
      <c r="G698" s="7" t="s">
        <v>1360</v>
      </c>
      <c r="H698" s="7" t="s">
        <v>1363</v>
      </c>
      <c r="I698" s="7">
        <v>2</v>
      </c>
      <c r="J698" s="7" t="str">
        <f>INDEX(Master_Produk!$C$2:$C$11,MATCH(H698,Master_Produk!$A$2:$A$11,0))</f>
        <v>Pakaian</v>
      </c>
      <c r="K698" s="8">
        <f>INDEX(Master_Produk!$E$2:$E$11,MATCH(Data_Transaksi!H698,Master_Produk!$A$2:$A$11,0))</f>
        <v>250000</v>
      </c>
      <c r="L698" s="8">
        <f t="shared" si="43"/>
        <v>500000</v>
      </c>
      <c r="M698" s="8">
        <f>INDEX(Master_Target!$B$2:$M$4, MATCH(J698, Master_Target!$A$2:$A$4, 0), MATCH(TEXT(B698, "[$-421]mmmm"), Master_Target!$B$1:$M$1, 0))</f>
        <v>27000000</v>
      </c>
    </row>
    <row r="699" spans="1:13" x14ac:dyDescent="0.25">
      <c r="A699" s="7" t="s">
        <v>708</v>
      </c>
      <c r="B699" s="11" t="s">
        <v>1242</v>
      </c>
      <c r="C699" s="7">
        <f t="shared" si="40"/>
        <v>9</v>
      </c>
      <c r="D699" s="7" t="str">
        <f t="shared" si="41"/>
        <v>Sep</v>
      </c>
      <c r="E699" s="7" t="s">
        <v>1355</v>
      </c>
      <c r="F699" s="7" t="str">
        <f t="shared" si="42"/>
        <v>Bambang H.</v>
      </c>
      <c r="G699" s="7" t="s">
        <v>1359</v>
      </c>
      <c r="H699" s="7" t="s">
        <v>1368</v>
      </c>
      <c r="I699" s="7">
        <v>1</v>
      </c>
      <c r="J699" s="7" t="str">
        <f>INDEX(Master_Produk!$C$2:$C$11,MATCH(H699,Master_Produk!$A$2:$A$11,0))</f>
        <v>Furnitur</v>
      </c>
      <c r="K699" s="8">
        <f>INDEX(Master_Produk!$E$2:$E$11,MATCH(Data_Transaksi!H699,Master_Produk!$A$2:$A$11,0))</f>
        <v>650000</v>
      </c>
      <c r="L699" s="8">
        <f t="shared" si="43"/>
        <v>650000</v>
      </c>
      <c r="M699" s="8">
        <f>INDEX(Master_Target!$B$2:$M$4, MATCH(J699, Master_Target!$A$2:$A$4, 0), MATCH(TEXT(B699, "[$-421]mmmm"), Master_Target!$B$1:$M$1, 0))</f>
        <v>36000000</v>
      </c>
    </row>
    <row r="700" spans="1:13" x14ac:dyDescent="0.25">
      <c r="A700" s="7" t="s">
        <v>709</v>
      </c>
      <c r="B700" s="11" t="s">
        <v>1242</v>
      </c>
      <c r="C700" s="7">
        <f t="shared" si="40"/>
        <v>9</v>
      </c>
      <c r="D700" s="7" t="str">
        <f t="shared" si="41"/>
        <v>Sep</v>
      </c>
      <c r="E700" s="7" t="s">
        <v>1351</v>
      </c>
      <c r="F700" s="7" t="str">
        <f t="shared" si="42"/>
        <v>Siti Rahma</v>
      </c>
      <c r="G700" s="7" t="s">
        <v>1357</v>
      </c>
      <c r="H700" s="7" t="s">
        <v>1362</v>
      </c>
      <c r="I700" s="7">
        <v>2</v>
      </c>
      <c r="J700" s="7" t="str">
        <f>INDEX(Master_Produk!$C$2:$C$11,MATCH(H700,Master_Produk!$A$2:$A$11,0))</f>
        <v>Pakaian</v>
      </c>
      <c r="K700" s="8">
        <f>INDEX(Master_Produk!$E$2:$E$11,MATCH(Data_Transaksi!H700,Master_Produk!$A$2:$A$11,0))</f>
        <v>350000</v>
      </c>
      <c r="L700" s="8">
        <f t="shared" si="43"/>
        <v>700000</v>
      </c>
      <c r="M700" s="8">
        <f>INDEX(Master_Target!$B$2:$M$4, MATCH(J700, Master_Target!$A$2:$A$4, 0), MATCH(TEXT(B700, "[$-421]mmmm"), Master_Target!$B$1:$M$1, 0))</f>
        <v>27000000</v>
      </c>
    </row>
    <row r="701" spans="1:13" x14ac:dyDescent="0.25">
      <c r="A701" s="7" t="s">
        <v>710</v>
      </c>
      <c r="B701" s="11" t="s">
        <v>1242</v>
      </c>
      <c r="C701" s="7">
        <f t="shared" si="40"/>
        <v>9</v>
      </c>
      <c r="D701" s="7" t="str">
        <f t="shared" si="41"/>
        <v>Sep</v>
      </c>
      <c r="E701" s="7" t="s">
        <v>1354</v>
      </c>
      <c r="F701" s="7" t="str">
        <f t="shared" si="42"/>
        <v>Mega Utami</v>
      </c>
      <c r="G701" s="7" t="s">
        <v>1361</v>
      </c>
      <c r="H701" s="7" t="s">
        <v>1366</v>
      </c>
      <c r="I701" s="7">
        <v>3</v>
      </c>
      <c r="J701" s="7" t="str">
        <f>INDEX(Master_Produk!$C$2:$C$11,MATCH(H701,Master_Produk!$A$2:$A$11,0))</f>
        <v>Elektronik</v>
      </c>
      <c r="K701" s="8">
        <f>INDEX(Master_Produk!$E$2:$E$11,MATCH(Data_Transaksi!H701,Master_Produk!$A$2:$A$11,0))</f>
        <v>7500000</v>
      </c>
      <c r="L701" s="8">
        <f t="shared" si="43"/>
        <v>22500000</v>
      </c>
      <c r="M701" s="8">
        <f>INDEX(Master_Target!$B$2:$M$4, MATCH(J701, Master_Target!$A$2:$A$4, 0), MATCH(TEXT(B701, "[$-421]mmmm"), Master_Target!$B$1:$M$1, 0))</f>
        <v>90000000</v>
      </c>
    </row>
    <row r="702" spans="1:13" x14ac:dyDescent="0.25">
      <c r="A702" s="7" t="s">
        <v>711</v>
      </c>
      <c r="B702" s="11" t="s">
        <v>1242</v>
      </c>
      <c r="C702" s="7">
        <f t="shared" si="40"/>
        <v>9</v>
      </c>
      <c r="D702" s="7" t="str">
        <f t="shared" si="41"/>
        <v>Sep</v>
      </c>
      <c r="E702" s="7" t="s">
        <v>1351</v>
      </c>
      <c r="F702" s="7" t="str">
        <f t="shared" si="42"/>
        <v>Siti Rahma</v>
      </c>
      <c r="G702" s="7" t="s">
        <v>1359</v>
      </c>
      <c r="H702" s="7" t="s">
        <v>1370</v>
      </c>
      <c r="I702" s="7">
        <v>1</v>
      </c>
      <c r="J702" s="7" t="str">
        <f>INDEX(Master_Produk!$C$2:$C$11,MATCH(H702,Master_Produk!$A$2:$A$11,0))</f>
        <v>Furnitur</v>
      </c>
      <c r="K702" s="8">
        <f>INDEX(Master_Produk!$E$2:$E$11,MATCH(Data_Transaksi!H702,Master_Produk!$A$2:$A$11,0))</f>
        <v>1200000</v>
      </c>
      <c r="L702" s="8">
        <f t="shared" si="43"/>
        <v>1200000</v>
      </c>
      <c r="M702" s="8">
        <f>INDEX(Master_Target!$B$2:$M$4, MATCH(J702, Master_Target!$A$2:$A$4, 0), MATCH(TEXT(B702, "[$-421]mmmm"), Master_Target!$B$1:$M$1, 0))</f>
        <v>36000000</v>
      </c>
    </row>
    <row r="703" spans="1:13" x14ac:dyDescent="0.25">
      <c r="A703" s="7" t="s">
        <v>712</v>
      </c>
      <c r="B703" s="11" t="s">
        <v>1242</v>
      </c>
      <c r="C703" s="7">
        <f t="shared" si="40"/>
        <v>9</v>
      </c>
      <c r="D703" s="7" t="str">
        <f t="shared" si="41"/>
        <v>Sep</v>
      </c>
      <c r="E703" s="7" t="s">
        <v>1352</v>
      </c>
      <c r="F703" s="7" t="str">
        <f t="shared" si="42"/>
        <v>Ahmad Fauzi</v>
      </c>
      <c r="G703" s="7" t="s">
        <v>1361</v>
      </c>
      <c r="H703" s="7" t="s">
        <v>1371</v>
      </c>
      <c r="I703" s="7">
        <v>1</v>
      </c>
      <c r="J703" s="7" t="str">
        <f>INDEX(Master_Produk!$C$2:$C$11,MATCH(H703,Master_Produk!$A$2:$A$11,0))</f>
        <v>Pakaian</v>
      </c>
      <c r="K703" s="8">
        <f>INDEX(Master_Produk!$E$2:$E$11,MATCH(Data_Transaksi!H703,Master_Produk!$A$2:$A$11,0))</f>
        <v>280000</v>
      </c>
      <c r="L703" s="8">
        <f t="shared" si="43"/>
        <v>280000</v>
      </c>
      <c r="M703" s="8">
        <f>INDEX(Master_Target!$B$2:$M$4, MATCH(J703, Master_Target!$A$2:$A$4, 0), MATCH(TEXT(B703, "[$-421]mmmm"), Master_Target!$B$1:$M$1, 0))</f>
        <v>27000000</v>
      </c>
    </row>
    <row r="704" spans="1:13" x14ac:dyDescent="0.25">
      <c r="A704" s="7" t="s">
        <v>713</v>
      </c>
      <c r="B704" s="11" t="s">
        <v>1242</v>
      </c>
      <c r="C704" s="7">
        <f t="shared" si="40"/>
        <v>9</v>
      </c>
      <c r="D704" s="7" t="str">
        <f t="shared" si="41"/>
        <v>Sep</v>
      </c>
      <c r="E704" s="7" t="s">
        <v>1349</v>
      </c>
      <c r="F704" s="7" t="str">
        <f t="shared" si="42"/>
        <v>Dewi Lestari</v>
      </c>
      <c r="G704" s="7" t="s">
        <v>1359</v>
      </c>
      <c r="H704" s="7" t="s">
        <v>1366</v>
      </c>
      <c r="I704" s="7">
        <v>1</v>
      </c>
      <c r="J704" s="7" t="str">
        <f>INDEX(Master_Produk!$C$2:$C$11,MATCH(H704,Master_Produk!$A$2:$A$11,0))</f>
        <v>Elektronik</v>
      </c>
      <c r="K704" s="8">
        <f>INDEX(Master_Produk!$E$2:$E$11,MATCH(Data_Transaksi!H704,Master_Produk!$A$2:$A$11,0))</f>
        <v>7500000</v>
      </c>
      <c r="L704" s="8">
        <f t="shared" si="43"/>
        <v>7500000</v>
      </c>
      <c r="M704" s="8">
        <f>INDEX(Master_Target!$B$2:$M$4, MATCH(J704, Master_Target!$A$2:$A$4, 0), MATCH(TEXT(B704, "[$-421]mmmm"), Master_Target!$B$1:$M$1, 0))</f>
        <v>90000000</v>
      </c>
    </row>
    <row r="705" spans="1:13" x14ac:dyDescent="0.25">
      <c r="A705" s="7" t="s">
        <v>714</v>
      </c>
      <c r="B705" s="11" t="s">
        <v>1243</v>
      </c>
      <c r="C705" s="7">
        <f t="shared" si="40"/>
        <v>9</v>
      </c>
      <c r="D705" s="7" t="str">
        <f t="shared" si="41"/>
        <v>Sep</v>
      </c>
      <c r="E705" s="7" t="s">
        <v>1353</v>
      </c>
      <c r="F705" s="7" t="str">
        <f t="shared" si="42"/>
        <v>Sari Yuliana</v>
      </c>
      <c r="G705" s="7" t="s">
        <v>1358</v>
      </c>
      <c r="H705" s="7" t="s">
        <v>1364</v>
      </c>
      <c r="I705" s="7">
        <v>3</v>
      </c>
      <c r="J705" s="7" t="str">
        <f>INDEX(Master_Produk!$C$2:$C$11,MATCH(H705,Master_Produk!$A$2:$A$11,0))</f>
        <v>Furnitur</v>
      </c>
      <c r="K705" s="8">
        <f>INDEX(Master_Produk!$E$2:$E$11,MATCH(Data_Transaksi!H705,Master_Produk!$A$2:$A$11,0))</f>
        <v>950000</v>
      </c>
      <c r="L705" s="8">
        <f t="shared" si="43"/>
        <v>2850000</v>
      </c>
      <c r="M705" s="8">
        <f>INDEX(Master_Target!$B$2:$M$4, MATCH(J705, Master_Target!$A$2:$A$4, 0), MATCH(TEXT(B705, "[$-421]mmmm"), Master_Target!$B$1:$M$1, 0))</f>
        <v>36000000</v>
      </c>
    </row>
    <row r="706" spans="1:13" x14ac:dyDescent="0.25">
      <c r="A706" s="7" t="s">
        <v>715</v>
      </c>
      <c r="B706" s="11" t="s">
        <v>1243</v>
      </c>
      <c r="C706" s="7">
        <f t="shared" si="40"/>
        <v>9</v>
      </c>
      <c r="D706" s="7" t="str">
        <f t="shared" si="41"/>
        <v>Sep</v>
      </c>
      <c r="E706" s="7" t="s">
        <v>1352</v>
      </c>
      <c r="F706" s="7" t="str">
        <f t="shared" si="42"/>
        <v>Ahmad Fauzi</v>
      </c>
      <c r="G706" s="7" t="s">
        <v>1357</v>
      </c>
      <c r="H706" s="7" t="s">
        <v>1362</v>
      </c>
      <c r="I706" s="7">
        <v>2</v>
      </c>
      <c r="J706" s="7" t="str">
        <f>INDEX(Master_Produk!$C$2:$C$11,MATCH(H706,Master_Produk!$A$2:$A$11,0))</f>
        <v>Pakaian</v>
      </c>
      <c r="K706" s="8">
        <f>INDEX(Master_Produk!$E$2:$E$11,MATCH(Data_Transaksi!H706,Master_Produk!$A$2:$A$11,0))</f>
        <v>350000</v>
      </c>
      <c r="L706" s="8">
        <f t="shared" si="43"/>
        <v>700000</v>
      </c>
      <c r="M706" s="8">
        <f>INDEX(Master_Target!$B$2:$M$4, MATCH(J706, Master_Target!$A$2:$A$4, 0), MATCH(TEXT(B706, "[$-421]mmmm"), Master_Target!$B$1:$M$1, 0))</f>
        <v>27000000</v>
      </c>
    </row>
    <row r="707" spans="1:13" x14ac:dyDescent="0.25">
      <c r="A707" s="7" t="s">
        <v>716</v>
      </c>
      <c r="B707" s="11" t="s">
        <v>1243</v>
      </c>
      <c r="C707" s="7">
        <f t="shared" ref="C707:C770" si="44">MONTH(B707)</f>
        <v>9</v>
      </c>
      <c r="D707" s="7" t="str">
        <f t="shared" ref="D707:D770" si="45">TEXT(B707,"mmm")</f>
        <v>Sep</v>
      </c>
      <c r="E707" s="7" t="s">
        <v>1355</v>
      </c>
      <c r="F707" s="7" t="str">
        <f t="shared" ref="F707:F770" si="46">TRIM(PROPER(E707))</f>
        <v>Bambang H.</v>
      </c>
      <c r="G707" s="7" t="s">
        <v>1360</v>
      </c>
      <c r="H707" s="7" t="s">
        <v>1370</v>
      </c>
      <c r="I707" s="7">
        <v>2</v>
      </c>
      <c r="J707" s="7" t="str">
        <f>INDEX(Master_Produk!$C$2:$C$11,MATCH(H707,Master_Produk!$A$2:$A$11,0))</f>
        <v>Furnitur</v>
      </c>
      <c r="K707" s="8">
        <f>INDEX(Master_Produk!$E$2:$E$11,MATCH(Data_Transaksi!H707,Master_Produk!$A$2:$A$11,0))</f>
        <v>1200000</v>
      </c>
      <c r="L707" s="8">
        <f t="shared" ref="L707:L770" si="47">I707*K707</f>
        <v>2400000</v>
      </c>
      <c r="M707" s="8">
        <f>INDEX(Master_Target!$B$2:$M$4, MATCH(J707, Master_Target!$A$2:$A$4, 0), MATCH(TEXT(B707, "[$-421]mmmm"), Master_Target!$B$1:$M$1, 0))</f>
        <v>36000000</v>
      </c>
    </row>
    <row r="708" spans="1:13" x14ac:dyDescent="0.25">
      <c r="A708" s="7" t="s">
        <v>717</v>
      </c>
      <c r="B708" s="11" t="s">
        <v>1243</v>
      </c>
      <c r="C708" s="7">
        <f t="shared" si="44"/>
        <v>9</v>
      </c>
      <c r="D708" s="7" t="str">
        <f t="shared" si="45"/>
        <v>Sep</v>
      </c>
      <c r="E708" s="7" t="s">
        <v>1355</v>
      </c>
      <c r="F708" s="7" t="str">
        <f t="shared" si="46"/>
        <v>Bambang H.</v>
      </c>
      <c r="G708" s="7" t="s">
        <v>1359</v>
      </c>
      <c r="H708" s="7" t="s">
        <v>1365</v>
      </c>
      <c r="I708" s="7">
        <v>3</v>
      </c>
      <c r="J708" s="7" t="str">
        <f>INDEX(Master_Produk!$C$2:$C$11,MATCH(H708,Master_Produk!$A$2:$A$11,0))</f>
        <v>Elektronik</v>
      </c>
      <c r="K708" s="8">
        <f>INDEX(Master_Produk!$E$2:$E$11,MATCH(Data_Transaksi!H708,Master_Produk!$A$2:$A$11,0))</f>
        <v>1800000</v>
      </c>
      <c r="L708" s="8">
        <f t="shared" si="47"/>
        <v>5400000</v>
      </c>
      <c r="M708" s="8">
        <f>INDEX(Master_Target!$B$2:$M$4, MATCH(J708, Master_Target!$A$2:$A$4, 0), MATCH(TEXT(B708, "[$-421]mmmm"), Master_Target!$B$1:$M$1, 0))</f>
        <v>90000000</v>
      </c>
    </row>
    <row r="709" spans="1:13" x14ac:dyDescent="0.25">
      <c r="A709" s="7" t="s">
        <v>718</v>
      </c>
      <c r="B709" s="11" t="s">
        <v>1243</v>
      </c>
      <c r="C709" s="7">
        <f t="shared" si="44"/>
        <v>9</v>
      </c>
      <c r="D709" s="7" t="str">
        <f t="shared" si="45"/>
        <v>Sep</v>
      </c>
      <c r="E709" s="7" t="s">
        <v>1354</v>
      </c>
      <c r="F709" s="7" t="str">
        <f t="shared" si="46"/>
        <v>Mega Utami</v>
      </c>
      <c r="G709" s="7" t="s">
        <v>1361</v>
      </c>
      <c r="H709" s="7" t="s">
        <v>1369</v>
      </c>
      <c r="I709" s="7">
        <v>3</v>
      </c>
      <c r="J709" s="7" t="str">
        <f>INDEX(Master_Produk!$C$2:$C$11,MATCH(H709,Master_Produk!$A$2:$A$11,0))</f>
        <v>Elektronik</v>
      </c>
      <c r="K709" s="8">
        <f>INDEX(Master_Produk!$E$2:$E$11,MATCH(Data_Transaksi!H709,Master_Produk!$A$2:$A$11,0))</f>
        <v>4500000</v>
      </c>
      <c r="L709" s="8">
        <f t="shared" si="47"/>
        <v>13500000</v>
      </c>
      <c r="M709" s="8">
        <f>INDEX(Master_Target!$B$2:$M$4, MATCH(J709, Master_Target!$A$2:$A$4, 0), MATCH(TEXT(B709, "[$-421]mmmm"), Master_Target!$B$1:$M$1, 0))</f>
        <v>90000000</v>
      </c>
    </row>
    <row r="710" spans="1:13" x14ac:dyDescent="0.25">
      <c r="A710" s="7" t="s">
        <v>719</v>
      </c>
      <c r="B710" s="11" t="s">
        <v>1243</v>
      </c>
      <c r="C710" s="7">
        <f t="shared" si="44"/>
        <v>9</v>
      </c>
      <c r="D710" s="7" t="str">
        <f t="shared" si="45"/>
        <v>Sep</v>
      </c>
      <c r="E710" s="7" t="s">
        <v>1353</v>
      </c>
      <c r="F710" s="7" t="str">
        <f t="shared" si="46"/>
        <v>Sari Yuliana</v>
      </c>
      <c r="G710" s="7" t="s">
        <v>1357</v>
      </c>
      <c r="H710" s="7" t="s">
        <v>1363</v>
      </c>
      <c r="I710" s="7">
        <v>2</v>
      </c>
      <c r="J710" s="7" t="str">
        <f>INDEX(Master_Produk!$C$2:$C$11,MATCH(H710,Master_Produk!$A$2:$A$11,0))</f>
        <v>Pakaian</v>
      </c>
      <c r="K710" s="8">
        <f>INDEX(Master_Produk!$E$2:$E$11,MATCH(Data_Transaksi!H710,Master_Produk!$A$2:$A$11,0))</f>
        <v>250000</v>
      </c>
      <c r="L710" s="8">
        <f t="shared" si="47"/>
        <v>500000</v>
      </c>
      <c r="M710" s="8">
        <f>INDEX(Master_Target!$B$2:$M$4, MATCH(J710, Master_Target!$A$2:$A$4, 0), MATCH(TEXT(B710, "[$-421]mmmm"), Master_Target!$B$1:$M$1, 0))</f>
        <v>27000000</v>
      </c>
    </row>
    <row r="711" spans="1:13" x14ac:dyDescent="0.25">
      <c r="A711" s="7" t="s">
        <v>720</v>
      </c>
      <c r="B711" s="11" t="s">
        <v>1244</v>
      </c>
      <c r="C711" s="7">
        <f t="shared" si="44"/>
        <v>9</v>
      </c>
      <c r="D711" s="7" t="str">
        <f t="shared" si="45"/>
        <v>Sep</v>
      </c>
      <c r="E711" s="7" t="s">
        <v>1349</v>
      </c>
      <c r="F711" s="7" t="str">
        <f t="shared" si="46"/>
        <v>Dewi Lestari</v>
      </c>
      <c r="G711" s="7" t="s">
        <v>1360</v>
      </c>
      <c r="H711" s="7" t="s">
        <v>1370</v>
      </c>
      <c r="I711" s="7">
        <v>4</v>
      </c>
      <c r="J711" s="7" t="str">
        <f>INDEX(Master_Produk!$C$2:$C$11,MATCH(H711,Master_Produk!$A$2:$A$11,0))</f>
        <v>Furnitur</v>
      </c>
      <c r="K711" s="8">
        <f>INDEX(Master_Produk!$E$2:$E$11,MATCH(Data_Transaksi!H711,Master_Produk!$A$2:$A$11,0))</f>
        <v>1200000</v>
      </c>
      <c r="L711" s="8">
        <f t="shared" si="47"/>
        <v>4800000</v>
      </c>
      <c r="M711" s="8">
        <f>INDEX(Master_Target!$B$2:$M$4, MATCH(J711, Master_Target!$A$2:$A$4, 0), MATCH(TEXT(B711, "[$-421]mmmm"), Master_Target!$B$1:$M$1, 0))</f>
        <v>36000000</v>
      </c>
    </row>
    <row r="712" spans="1:13" x14ac:dyDescent="0.25">
      <c r="A712" s="7" t="s">
        <v>721</v>
      </c>
      <c r="B712" s="11" t="s">
        <v>1244</v>
      </c>
      <c r="C712" s="7">
        <f t="shared" si="44"/>
        <v>9</v>
      </c>
      <c r="D712" s="7" t="str">
        <f t="shared" si="45"/>
        <v>Sep</v>
      </c>
      <c r="E712" s="7" t="s">
        <v>1356</v>
      </c>
      <c r="F712" s="7" t="str">
        <f t="shared" si="46"/>
        <v>Eko Prasetyo</v>
      </c>
      <c r="G712" s="7" t="s">
        <v>1361</v>
      </c>
      <c r="H712" s="7" t="s">
        <v>1362</v>
      </c>
      <c r="I712" s="7">
        <v>1</v>
      </c>
      <c r="J712" s="7" t="str">
        <f>INDEX(Master_Produk!$C$2:$C$11,MATCH(H712,Master_Produk!$A$2:$A$11,0))</f>
        <v>Pakaian</v>
      </c>
      <c r="K712" s="8">
        <f>INDEX(Master_Produk!$E$2:$E$11,MATCH(Data_Transaksi!H712,Master_Produk!$A$2:$A$11,0))</f>
        <v>350000</v>
      </c>
      <c r="L712" s="8">
        <f t="shared" si="47"/>
        <v>350000</v>
      </c>
      <c r="M712" s="8">
        <f>INDEX(Master_Target!$B$2:$M$4, MATCH(J712, Master_Target!$A$2:$A$4, 0), MATCH(TEXT(B712, "[$-421]mmmm"), Master_Target!$B$1:$M$1, 0))</f>
        <v>27000000</v>
      </c>
    </row>
    <row r="713" spans="1:13" x14ac:dyDescent="0.25">
      <c r="A713" s="7" t="s">
        <v>722</v>
      </c>
      <c r="B713" s="11" t="s">
        <v>1244</v>
      </c>
      <c r="C713" s="7">
        <f t="shared" si="44"/>
        <v>9</v>
      </c>
      <c r="D713" s="7" t="str">
        <f t="shared" si="45"/>
        <v>Sep</v>
      </c>
      <c r="E713" s="7" t="s">
        <v>1350</v>
      </c>
      <c r="F713" s="7" t="str">
        <f t="shared" si="46"/>
        <v>Andi Wijaya</v>
      </c>
      <c r="G713" s="7" t="s">
        <v>1357</v>
      </c>
      <c r="H713" s="7" t="s">
        <v>1364</v>
      </c>
      <c r="I713" s="7">
        <v>1</v>
      </c>
      <c r="J713" s="7" t="str">
        <f>INDEX(Master_Produk!$C$2:$C$11,MATCH(H713,Master_Produk!$A$2:$A$11,0))</f>
        <v>Furnitur</v>
      </c>
      <c r="K713" s="8">
        <f>INDEX(Master_Produk!$E$2:$E$11,MATCH(Data_Transaksi!H713,Master_Produk!$A$2:$A$11,0))</f>
        <v>950000</v>
      </c>
      <c r="L713" s="8">
        <f t="shared" si="47"/>
        <v>950000</v>
      </c>
      <c r="M713" s="8">
        <f>INDEX(Master_Target!$B$2:$M$4, MATCH(J713, Master_Target!$A$2:$A$4, 0), MATCH(TEXT(B713, "[$-421]mmmm"), Master_Target!$B$1:$M$1, 0))</f>
        <v>36000000</v>
      </c>
    </row>
    <row r="714" spans="1:13" x14ac:dyDescent="0.25">
      <c r="A714" s="7" t="s">
        <v>723</v>
      </c>
      <c r="B714" s="11" t="s">
        <v>1245</v>
      </c>
      <c r="C714" s="7">
        <f t="shared" si="44"/>
        <v>9</v>
      </c>
      <c r="D714" s="7" t="str">
        <f t="shared" si="45"/>
        <v>Sep</v>
      </c>
      <c r="E714" s="7" t="s">
        <v>1347</v>
      </c>
      <c r="F714" s="7" t="str">
        <f t="shared" si="46"/>
        <v>Rina Marlina</v>
      </c>
      <c r="G714" s="7" t="s">
        <v>1361</v>
      </c>
      <c r="H714" s="7" t="s">
        <v>1362</v>
      </c>
      <c r="I714" s="7">
        <v>1</v>
      </c>
      <c r="J714" s="7" t="str">
        <f>INDEX(Master_Produk!$C$2:$C$11,MATCH(H714,Master_Produk!$A$2:$A$11,0))</f>
        <v>Pakaian</v>
      </c>
      <c r="K714" s="8">
        <f>INDEX(Master_Produk!$E$2:$E$11,MATCH(Data_Transaksi!H714,Master_Produk!$A$2:$A$11,0))</f>
        <v>350000</v>
      </c>
      <c r="L714" s="8">
        <f t="shared" si="47"/>
        <v>350000</v>
      </c>
      <c r="M714" s="8">
        <f>INDEX(Master_Target!$B$2:$M$4, MATCH(J714, Master_Target!$A$2:$A$4, 0), MATCH(TEXT(B714, "[$-421]mmmm"), Master_Target!$B$1:$M$1, 0))</f>
        <v>27000000</v>
      </c>
    </row>
    <row r="715" spans="1:13" x14ac:dyDescent="0.25">
      <c r="A715" s="7" t="s">
        <v>724</v>
      </c>
      <c r="B715" s="11" t="s">
        <v>1245</v>
      </c>
      <c r="C715" s="7">
        <f t="shared" si="44"/>
        <v>9</v>
      </c>
      <c r="D715" s="7" t="str">
        <f t="shared" si="45"/>
        <v>Sep</v>
      </c>
      <c r="E715" s="7" t="s">
        <v>1349</v>
      </c>
      <c r="F715" s="7" t="str">
        <f t="shared" si="46"/>
        <v>Dewi Lestari</v>
      </c>
      <c r="G715" s="7" t="s">
        <v>1357</v>
      </c>
      <c r="H715" s="7" t="s">
        <v>1365</v>
      </c>
      <c r="I715" s="7">
        <v>1</v>
      </c>
      <c r="J715" s="7" t="str">
        <f>INDEX(Master_Produk!$C$2:$C$11,MATCH(H715,Master_Produk!$A$2:$A$11,0))</f>
        <v>Elektronik</v>
      </c>
      <c r="K715" s="8">
        <f>INDEX(Master_Produk!$E$2:$E$11,MATCH(Data_Transaksi!H715,Master_Produk!$A$2:$A$11,0))</f>
        <v>1800000</v>
      </c>
      <c r="L715" s="8">
        <f t="shared" si="47"/>
        <v>1800000</v>
      </c>
      <c r="M715" s="8">
        <f>INDEX(Master_Target!$B$2:$M$4, MATCH(J715, Master_Target!$A$2:$A$4, 0), MATCH(TEXT(B715, "[$-421]mmmm"), Master_Target!$B$1:$M$1, 0))</f>
        <v>90000000</v>
      </c>
    </row>
    <row r="716" spans="1:13" x14ac:dyDescent="0.25">
      <c r="A716" s="7" t="s">
        <v>725</v>
      </c>
      <c r="B716" s="11" t="s">
        <v>1245</v>
      </c>
      <c r="C716" s="7">
        <f t="shared" si="44"/>
        <v>9</v>
      </c>
      <c r="D716" s="7" t="str">
        <f t="shared" si="45"/>
        <v>Sep</v>
      </c>
      <c r="E716" s="7" t="s">
        <v>1355</v>
      </c>
      <c r="F716" s="7" t="str">
        <f t="shared" si="46"/>
        <v>Bambang H.</v>
      </c>
      <c r="G716" s="7" t="s">
        <v>1360</v>
      </c>
      <c r="H716" s="7" t="s">
        <v>1368</v>
      </c>
      <c r="I716" s="7">
        <v>2</v>
      </c>
      <c r="J716" s="7" t="str">
        <f>INDEX(Master_Produk!$C$2:$C$11,MATCH(H716,Master_Produk!$A$2:$A$11,0))</f>
        <v>Furnitur</v>
      </c>
      <c r="K716" s="8">
        <f>INDEX(Master_Produk!$E$2:$E$11,MATCH(Data_Transaksi!H716,Master_Produk!$A$2:$A$11,0))</f>
        <v>650000</v>
      </c>
      <c r="L716" s="8">
        <f t="shared" si="47"/>
        <v>1300000</v>
      </c>
      <c r="M716" s="8">
        <f>INDEX(Master_Target!$B$2:$M$4, MATCH(J716, Master_Target!$A$2:$A$4, 0), MATCH(TEXT(B716, "[$-421]mmmm"), Master_Target!$B$1:$M$1, 0))</f>
        <v>36000000</v>
      </c>
    </row>
    <row r="717" spans="1:13" x14ac:dyDescent="0.25">
      <c r="A717" s="7" t="s">
        <v>726</v>
      </c>
      <c r="B717" s="11" t="s">
        <v>1246</v>
      </c>
      <c r="C717" s="7">
        <f t="shared" si="44"/>
        <v>9</v>
      </c>
      <c r="D717" s="7" t="str">
        <f t="shared" si="45"/>
        <v>Sep</v>
      </c>
      <c r="E717" s="7" t="s">
        <v>1350</v>
      </c>
      <c r="F717" s="7" t="str">
        <f t="shared" si="46"/>
        <v>Andi Wijaya</v>
      </c>
      <c r="G717" s="7" t="s">
        <v>1360</v>
      </c>
      <c r="H717" s="7" t="s">
        <v>1371</v>
      </c>
      <c r="I717" s="7">
        <v>5</v>
      </c>
      <c r="J717" s="7" t="str">
        <f>INDEX(Master_Produk!$C$2:$C$11,MATCH(H717,Master_Produk!$A$2:$A$11,0))</f>
        <v>Pakaian</v>
      </c>
      <c r="K717" s="8">
        <f>INDEX(Master_Produk!$E$2:$E$11,MATCH(Data_Transaksi!H717,Master_Produk!$A$2:$A$11,0))</f>
        <v>280000</v>
      </c>
      <c r="L717" s="8">
        <f t="shared" si="47"/>
        <v>1400000</v>
      </c>
      <c r="M717" s="8">
        <f>INDEX(Master_Target!$B$2:$M$4, MATCH(J717, Master_Target!$A$2:$A$4, 0), MATCH(TEXT(B717, "[$-421]mmmm"), Master_Target!$B$1:$M$1, 0))</f>
        <v>27000000</v>
      </c>
    </row>
    <row r="718" spans="1:13" x14ac:dyDescent="0.25">
      <c r="A718" s="7" t="s">
        <v>727</v>
      </c>
      <c r="B718" s="11" t="s">
        <v>1246</v>
      </c>
      <c r="C718" s="7">
        <f t="shared" si="44"/>
        <v>9</v>
      </c>
      <c r="D718" s="7" t="str">
        <f t="shared" si="45"/>
        <v>Sep</v>
      </c>
      <c r="E718" s="7" t="s">
        <v>1355</v>
      </c>
      <c r="F718" s="7" t="str">
        <f t="shared" si="46"/>
        <v>Bambang H.</v>
      </c>
      <c r="G718" s="7" t="s">
        <v>1361</v>
      </c>
      <c r="H718" s="7" t="s">
        <v>1365</v>
      </c>
      <c r="I718" s="7">
        <v>1</v>
      </c>
      <c r="J718" s="7" t="str">
        <f>INDEX(Master_Produk!$C$2:$C$11,MATCH(H718,Master_Produk!$A$2:$A$11,0))</f>
        <v>Elektronik</v>
      </c>
      <c r="K718" s="8">
        <f>INDEX(Master_Produk!$E$2:$E$11,MATCH(Data_Transaksi!H718,Master_Produk!$A$2:$A$11,0))</f>
        <v>1800000</v>
      </c>
      <c r="L718" s="8">
        <f t="shared" si="47"/>
        <v>1800000</v>
      </c>
      <c r="M718" s="8">
        <f>INDEX(Master_Target!$B$2:$M$4, MATCH(J718, Master_Target!$A$2:$A$4, 0), MATCH(TEXT(B718, "[$-421]mmmm"), Master_Target!$B$1:$M$1, 0))</f>
        <v>90000000</v>
      </c>
    </row>
    <row r="719" spans="1:13" x14ac:dyDescent="0.25">
      <c r="A719" s="7" t="s">
        <v>728</v>
      </c>
      <c r="B719" s="11" t="s">
        <v>1247</v>
      </c>
      <c r="C719" s="7">
        <f t="shared" si="44"/>
        <v>9</v>
      </c>
      <c r="D719" s="7" t="str">
        <f t="shared" si="45"/>
        <v>Sep</v>
      </c>
      <c r="E719" s="7" t="s">
        <v>1353</v>
      </c>
      <c r="F719" s="7" t="str">
        <f t="shared" si="46"/>
        <v>Sari Yuliana</v>
      </c>
      <c r="G719" s="7" t="s">
        <v>1357</v>
      </c>
      <c r="H719" s="7" t="s">
        <v>1370</v>
      </c>
      <c r="I719" s="7">
        <v>1</v>
      </c>
      <c r="J719" s="7" t="str">
        <f>INDEX(Master_Produk!$C$2:$C$11,MATCH(H719,Master_Produk!$A$2:$A$11,0))</f>
        <v>Furnitur</v>
      </c>
      <c r="K719" s="8">
        <f>INDEX(Master_Produk!$E$2:$E$11,MATCH(Data_Transaksi!H719,Master_Produk!$A$2:$A$11,0))</f>
        <v>1200000</v>
      </c>
      <c r="L719" s="8">
        <f t="shared" si="47"/>
        <v>1200000</v>
      </c>
      <c r="M719" s="8">
        <f>INDEX(Master_Target!$B$2:$M$4, MATCH(J719, Master_Target!$A$2:$A$4, 0), MATCH(TEXT(B719, "[$-421]mmmm"), Master_Target!$B$1:$M$1, 0))</f>
        <v>36000000</v>
      </c>
    </row>
    <row r="720" spans="1:13" x14ac:dyDescent="0.25">
      <c r="A720" s="7" t="s">
        <v>729</v>
      </c>
      <c r="B720" s="11" t="s">
        <v>1247</v>
      </c>
      <c r="C720" s="7">
        <f t="shared" si="44"/>
        <v>9</v>
      </c>
      <c r="D720" s="7" t="str">
        <f t="shared" si="45"/>
        <v>Sep</v>
      </c>
      <c r="E720" s="7" t="s">
        <v>1353</v>
      </c>
      <c r="F720" s="7" t="str">
        <f t="shared" si="46"/>
        <v>Sari Yuliana</v>
      </c>
      <c r="G720" s="7" t="s">
        <v>1359</v>
      </c>
      <c r="H720" s="7" t="s">
        <v>1369</v>
      </c>
      <c r="I720" s="7">
        <v>2</v>
      </c>
      <c r="J720" s="7" t="str">
        <f>INDEX(Master_Produk!$C$2:$C$11,MATCH(H720,Master_Produk!$A$2:$A$11,0))</f>
        <v>Elektronik</v>
      </c>
      <c r="K720" s="8">
        <f>INDEX(Master_Produk!$E$2:$E$11,MATCH(Data_Transaksi!H720,Master_Produk!$A$2:$A$11,0))</f>
        <v>4500000</v>
      </c>
      <c r="L720" s="8">
        <f t="shared" si="47"/>
        <v>9000000</v>
      </c>
      <c r="M720" s="8">
        <f>INDEX(Master_Target!$B$2:$M$4, MATCH(J720, Master_Target!$A$2:$A$4, 0), MATCH(TEXT(B720, "[$-421]mmmm"), Master_Target!$B$1:$M$1, 0))</f>
        <v>90000000</v>
      </c>
    </row>
    <row r="721" spans="1:13" x14ac:dyDescent="0.25">
      <c r="A721" s="7" t="s">
        <v>730</v>
      </c>
      <c r="B721" s="11" t="s">
        <v>1247</v>
      </c>
      <c r="C721" s="7">
        <f t="shared" si="44"/>
        <v>9</v>
      </c>
      <c r="D721" s="7" t="str">
        <f t="shared" si="45"/>
        <v>Sep</v>
      </c>
      <c r="E721" s="7" t="s">
        <v>1354</v>
      </c>
      <c r="F721" s="7" t="str">
        <f t="shared" si="46"/>
        <v>Mega Utami</v>
      </c>
      <c r="G721" s="7" t="s">
        <v>1360</v>
      </c>
      <c r="H721" s="7" t="s">
        <v>1368</v>
      </c>
      <c r="I721" s="7">
        <v>5</v>
      </c>
      <c r="J721" s="7" t="str">
        <f>INDEX(Master_Produk!$C$2:$C$11,MATCH(H721,Master_Produk!$A$2:$A$11,0))</f>
        <v>Furnitur</v>
      </c>
      <c r="K721" s="8">
        <f>INDEX(Master_Produk!$E$2:$E$11,MATCH(Data_Transaksi!H721,Master_Produk!$A$2:$A$11,0))</f>
        <v>650000</v>
      </c>
      <c r="L721" s="8">
        <f t="shared" si="47"/>
        <v>3250000</v>
      </c>
      <c r="M721" s="8">
        <f>INDEX(Master_Target!$B$2:$M$4, MATCH(J721, Master_Target!$A$2:$A$4, 0), MATCH(TEXT(B721, "[$-421]mmmm"), Master_Target!$B$1:$M$1, 0))</f>
        <v>36000000</v>
      </c>
    </row>
    <row r="722" spans="1:13" x14ac:dyDescent="0.25">
      <c r="A722" s="7" t="s">
        <v>731</v>
      </c>
      <c r="B722" s="11" t="s">
        <v>1248</v>
      </c>
      <c r="C722" s="7">
        <f t="shared" si="44"/>
        <v>9</v>
      </c>
      <c r="D722" s="7" t="str">
        <f t="shared" si="45"/>
        <v>Sep</v>
      </c>
      <c r="E722" s="7" t="s">
        <v>1356</v>
      </c>
      <c r="F722" s="7" t="str">
        <f t="shared" si="46"/>
        <v>Eko Prasetyo</v>
      </c>
      <c r="G722" s="7" t="s">
        <v>1359</v>
      </c>
      <c r="H722" s="7" t="s">
        <v>1371</v>
      </c>
      <c r="I722" s="7">
        <v>1</v>
      </c>
      <c r="J722" s="7" t="str">
        <f>INDEX(Master_Produk!$C$2:$C$11,MATCH(H722,Master_Produk!$A$2:$A$11,0))</f>
        <v>Pakaian</v>
      </c>
      <c r="K722" s="8">
        <f>INDEX(Master_Produk!$E$2:$E$11,MATCH(Data_Transaksi!H722,Master_Produk!$A$2:$A$11,0))</f>
        <v>280000</v>
      </c>
      <c r="L722" s="8">
        <f t="shared" si="47"/>
        <v>280000</v>
      </c>
      <c r="M722" s="8">
        <f>INDEX(Master_Target!$B$2:$M$4, MATCH(J722, Master_Target!$A$2:$A$4, 0), MATCH(TEXT(B722, "[$-421]mmmm"), Master_Target!$B$1:$M$1, 0))</f>
        <v>27000000</v>
      </c>
    </row>
    <row r="723" spans="1:13" x14ac:dyDescent="0.25">
      <c r="A723" s="7" t="s">
        <v>732</v>
      </c>
      <c r="B723" s="11" t="s">
        <v>1248</v>
      </c>
      <c r="C723" s="7">
        <f t="shared" si="44"/>
        <v>9</v>
      </c>
      <c r="D723" s="7" t="str">
        <f t="shared" si="45"/>
        <v>Sep</v>
      </c>
      <c r="E723" s="7" t="s">
        <v>1348</v>
      </c>
      <c r="F723" s="7" t="str">
        <f t="shared" si="46"/>
        <v>Budi Santoso</v>
      </c>
      <c r="G723" s="7" t="s">
        <v>1359</v>
      </c>
      <c r="H723" s="7" t="s">
        <v>1366</v>
      </c>
      <c r="I723" s="7">
        <v>2</v>
      </c>
      <c r="J723" s="7" t="str">
        <f>INDEX(Master_Produk!$C$2:$C$11,MATCH(H723,Master_Produk!$A$2:$A$11,0))</f>
        <v>Elektronik</v>
      </c>
      <c r="K723" s="8">
        <f>INDEX(Master_Produk!$E$2:$E$11,MATCH(Data_Transaksi!H723,Master_Produk!$A$2:$A$11,0))</f>
        <v>7500000</v>
      </c>
      <c r="L723" s="8">
        <f t="shared" si="47"/>
        <v>15000000</v>
      </c>
      <c r="M723" s="8">
        <f>INDEX(Master_Target!$B$2:$M$4, MATCH(J723, Master_Target!$A$2:$A$4, 0), MATCH(TEXT(B723, "[$-421]mmmm"), Master_Target!$B$1:$M$1, 0))</f>
        <v>90000000</v>
      </c>
    </row>
    <row r="724" spans="1:13" x14ac:dyDescent="0.25">
      <c r="A724" s="7" t="s">
        <v>733</v>
      </c>
      <c r="B724" s="11" t="s">
        <v>1249</v>
      </c>
      <c r="C724" s="7">
        <f t="shared" si="44"/>
        <v>9</v>
      </c>
      <c r="D724" s="7" t="str">
        <f t="shared" si="45"/>
        <v>Sep</v>
      </c>
      <c r="E724" s="7" t="s">
        <v>1355</v>
      </c>
      <c r="F724" s="7" t="str">
        <f t="shared" si="46"/>
        <v>Bambang H.</v>
      </c>
      <c r="G724" s="7" t="s">
        <v>1358</v>
      </c>
      <c r="H724" s="7" t="s">
        <v>1369</v>
      </c>
      <c r="I724" s="7">
        <v>1</v>
      </c>
      <c r="J724" s="7" t="str">
        <f>INDEX(Master_Produk!$C$2:$C$11,MATCH(H724,Master_Produk!$A$2:$A$11,0))</f>
        <v>Elektronik</v>
      </c>
      <c r="K724" s="8">
        <f>INDEX(Master_Produk!$E$2:$E$11,MATCH(Data_Transaksi!H724,Master_Produk!$A$2:$A$11,0))</f>
        <v>4500000</v>
      </c>
      <c r="L724" s="8">
        <f t="shared" si="47"/>
        <v>4500000</v>
      </c>
      <c r="M724" s="8">
        <f>INDEX(Master_Target!$B$2:$M$4, MATCH(J724, Master_Target!$A$2:$A$4, 0), MATCH(TEXT(B724, "[$-421]mmmm"), Master_Target!$B$1:$M$1, 0))</f>
        <v>90000000</v>
      </c>
    </row>
    <row r="725" spans="1:13" x14ac:dyDescent="0.25">
      <c r="A725" s="7" t="s">
        <v>734</v>
      </c>
      <c r="B725" s="11" t="s">
        <v>1249</v>
      </c>
      <c r="C725" s="7">
        <f t="shared" si="44"/>
        <v>9</v>
      </c>
      <c r="D725" s="7" t="str">
        <f t="shared" si="45"/>
        <v>Sep</v>
      </c>
      <c r="E725" s="7" t="s">
        <v>1356</v>
      </c>
      <c r="F725" s="7" t="str">
        <f t="shared" si="46"/>
        <v>Eko Prasetyo</v>
      </c>
      <c r="G725" s="7" t="s">
        <v>1361</v>
      </c>
      <c r="H725" s="7" t="s">
        <v>1365</v>
      </c>
      <c r="I725" s="7">
        <v>1</v>
      </c>
      <c r="J725" s="7" t="str">
        <f>INDEX(Master_Produk!$C$2:$C$11,MATCH(H725,Master_Produk!$A$2:$A$11,0))</f>
        <v>Elektronik</v>
      </c>
      <c r="K725" s="8">
        <f>INDEX(Master_Produk!$E$2:$E$11,MATCH(Data_Transaksi!H725,Master_Produk!$A$2:$A$11,0))</f>
        <v>1800000</v>
      </c>
      <c r="L725" s="8">
        <f t="shared" si="47"/>
        <v>1800000</v>
      </c>
      <c r="M725" s="8">
        <f>INDEX(Master_Target!$B$2:$M$4, MATCH(J725, Master_Target!$A$2:$A$4, 0), MATCH(TEXT(B725, "[$-421]mmmm"), Master_Target!$B$1:$M$1, 0))</f>
        <v>90000000</v>
      </c>
    </row>
    <row r="726" spans="1:13" x14ac:dyDescent="0.25">
      <c r="A726" s="7" t="s">
        <v>735</v>
      </c>
      <c r="B726" s="11" t="s">
        <v>1249</v>
      </c>
      <c r="C726" s="7">
        <f t="shared" si="44"/>
        <v>9</v>
      </c>
      <c r="D726" s="7" t="str">
        <f t="shared" si="45"/>
        <v>Sep</v>
      </c>
      <c r="E726" s="7" t="s">
        <v>1351</v>
      </c>
      <c r="F726" s="7" t="str">
        <f t="shared" si="46"/>
        <v>Siti Rahma</v>
      </c>
      <c r="G726" s="7" t="s">
        <v>1361</v>
      </c>
      <c r="H726" s="7" t="s">
        <v>1364</v>
      </c>
      <c r="I726" s="7">
        <v>10</v>
      </c>
      <c r="J726" s="7" t="str">
        <f>INDEX(Master_Produk!$C$2:$C$11,MATCH(H726,Master_Produk!$A$2:$A$11,0))</f>
        <v>Furnitur</v>
      </c>
      <c r="K726" s="8">
        <f>INDEX(Master_Produk!$E$2:$E$11,MATCH(Data_Transaksi!H726,Master_Produk!$A$2:$A$11,0))</f>
        <v>950000</v>
      </c>
      <c r="L726" s="8">
        <f t="shared" si="47"/>
        <v>9500000</v>
      </c>
      <c r="M726" s="8">
        <f>INDEX(Master_Target!$B$2:$M$4, MATCH(J726, Master_Target!$A$2:$A$4, 0), MATCH(TEXT(B726, "[$-421]mmmm"), Master_Target!$B$1:$M$1, 0))</f>
        <v>36000000</v>
      </c>
    </row>
    <row r="727" spans="1:13" x14ac:dyDescent="0.25">
      <c r="A727" s="7" t="s">
        <v>736</v>
      </c>
      <c r="B727" s="11" t="s">
        <v>1249</v>
      </c>
      <c r="C727" s="7">
        <f t="shared" si="44"/>
        <v>9</v>
      </c>
      <c r="D727" s="7" t="str">
        <f t="shared" si="45"/>
        <v>Sep</v>
      </c>
      <c r="E727" s="7" t="s">
        <v>1355</v>
      </c>
      <c r="F727" s="7" t="str">
        <f t="shared" si="46"/>
        <v>Bambang H.</v>
      </c>
      <c r="G727" s="7" t="s">
        <v>1361</v>
      </c>
      <c r="H727" s="7" t="s">
        <v>1369</v>
      </c>
      <c r="I727" s="7">
        <v>5</v>
      </c>
      <c r="J727" s="7" t="str">
        <f>INDEX(Master_Produk!$C$2:$C$11,MATCH(H727,Master_Produk!$A$2:$A$11,0))</f>
        <v>Elektronik</v>
      </c>
      <c r="K727" s="8">
        <f>INDEX(Master_Produk!$E$2:$E$11,MATCH(Data_Transaksi!H727,Master_Produk!$A$2:$A$11,0))</f>
        <v>4500000</v>
      </c>
      <c r="L727" s="8">
        <f t="shared" si="47"/>
        <v>22500000</v>
      </c>
      <c r="M727" s="8">
        <f>INDEX(Master_Target!$B$2:$M$4, MATCH(J727, Master_Target!$A$2:$A$4, 0), MATCH(TEXT(B727, "[$-421]mmmm"), Master_Target!$B$1:$M$1, 0))</f>
        <v>90000000</v>
      </c>
    </row>
    <row r="728" spans="1:13" x14ac:dyDescent="0.25">
      <c r="A728" s="7" t="s">
        <v>737</v>
      </c>
      <c r="B728" s="11" t="s">
        <v>1249</v>
      </c>
      <c r="C728" s="7">
        <f t="shared" si="44"/>
        <v>9</v>
      </c>
      <c r="D728" s="7" t="str">
        <f t="shared" si="45"/>
        <v>Sep</v>
      </c>
      <c r="E728" s="7" t="s">
        <v>1350</v>
      </c>
      <c r="F728" s="7" t="str">
        <f t="shared" si="46"/>
        <v>Andi Wijaya</v>
      </c>
      <c r="G728" s="7" t="s">
        <v>1357</v>
      </c>
      <c r="H728" s="7" t="s">
        <v>1371</v>
      </c>
      <c r="I728" s="7">
        <v>1</v>
      </c>
      <c r="J728" s="7" t="str">
        <f>INDEX(Master_Produk!$C$2:$C$11,MATCH(H728,Master_Produk!$A$2:$A$11,0))</f>
        <v>Pakaian</v>
      </c>
      <c r="K728" s="8">
        <f>INDEX(Master_Produk!$E$2:$E$11,MATCH(Data_Transaksi!H728,Master_Produk!$A$2:$A$11,0))</f>
        <v>280000</v>
      </c>
      <c r="L728" s="8">
        <f t="shared" si="47"/>
        <v>280000</v>
      </c>
      <c r="M728" s="8">
        <f>INDEX(Master_Target!$B$2:$M$4, MATCH(J728, Master_Target!$A$2:$A$4, 0), MATCH(TEXT(B728, "[$-421]mmmm"), Master_Target!$B$1:$M$1, 0))</f>
        <v>27000000</v>
      </c>
    </row>
    <row r="729" spans="1:13" x14ac:dyDescent="0.25">
      <c r="A729" s="7" t="s">
        <v>738</v>
      </c>
      <c r="B729" s="11" t="s">
        <v>1250</v>
      </c>
      <c r="C729" s="7">
        <f t="shared" si="44"/>
        <v>9</v>
      </c>
      <c r="D729" s="7" t="str">
        <f t="shared" si="45"/>
        <v>Sep</v>
      </c>
      <c r="E729" s="7" t="s">
        <v>1356</v>
      </c>
      <c r="F729" s="7" t="str">
        <f t="shared" si="46"/>
        <v>Eko Prasetyo</v>
      </c>
      <c r="G729" s="7" t="s">
        <v>1360</v>
      </c>
      <c r="H729" s="7" t="s">
        <v>1362</v>
      </c>
      <c r="I729" s="7">
        <v>5</v>
      </c>
      <c r="J729" s="7" t="str">
        <f>INDEX(Master_Produk!$C$2:$C$11,MATCH(H729,Master_Produk!$A$2:$A$11,0))</f>
        <v>Pakaian</v>
      </c>
      <c r="K729" s="8">
        <f>INDEX(Master_Produk!$E$2:$E$11,MATCH(Data_Transaksi!H729,Master_Produk!$A$2:$A$11,0))</f>
        <v>350000</v>
      </c>
      <c r="L729" s="8">
        <f t="shared" si="47"/>
        <v>1750000</v>
      </c>
      <c r="M729" s="8">
        <f>INDEX(Master_Target!$B$2:$M$4, MATCH(J729, Master_Target!$A$2:$A$4, 0), MATCH(TEXT(B729, "[$-421]mmmm"), Master_Target!$B$1:$M$1, 0))</f>
        <v>27000000</v>
      </c>
    </row>
    <row r="730" spans="1:13" x14ac:dyDescent="0.25">
      <c r="A730" s="7" t="s">
        <v>739</v>
      </c>
      <c r="B730" s="11" t="s">
        <v>1250</v>
      </c>
      <c r="C730" s="7">
        <f t="shared" si="44"/>
        <v>9</v>
      </c>
      <c r="D730" s="7" t="str">
        <f t="shared" si="45"/>
        <v>Sep</v>
      </c>
      <c r="E730" s="7" t="s">
        <v>1349</v>
      </c>
      <c r="F730" s="7" t="str">
        <f t="shared" si="46"/>
        <v>Dewi Lestari</v>
      </c>
      <c r="G730" s="7" t="s">
        <v>1360</v>
      </c>
      <c r="H730" s="7" t="s">
        <v>1362</v>
      </c>
      <c r="I730" s="7">
        <v>2</v>
      </c>
      <c r="J730" s="7" t="str">
        <f>INDEX(Master_Produk!$C$2:$C$11,MATCH(H730,Master_Produk!$A$2:$A$11,0))</f>
        <v>Pakaian</v>
      </c>
      <c r="K730" s="8">
        <f>INDEX(Master_Produk!$E$2:$E$11,MATCH(Data_Transaksi!H730,Master_Produk!$A$2:$A$11,0))</f>
        <v>350000</v>
      </c>
      <c r="L730" s="8">
        <f t="shared" si="47"/>
        <v>700000</v>
      </c>
      <c r="M730" s="8">
        <f>INDEX(Master_Target!$B$2:$M$4, MATCH(J730, Master_Target!$A$2:$A$4, 0), MATCH(TEXT(B730, "[$-421]mmmm"), Master_Target!$B$1:$M$1, 0))</f>
        <v>27000000</v>
      </c>
    </row>
    <row r="731" spans="1:13" x14ac:dyDescent="0.25">
      <c r="A731" s="7" t="s">
        <v>740</v>
      </c>
      <c r="B731" s="11" t="s">
        <v>1251</v>
      </c>
      <c r="C731" s="7">
        <f t="shared" si="44"/>
        <v>9</v>
      </c>
      <c r="D731" s="7" t="str">
        <f t="shared" si="45"/>
        <v>Sep</v>
      </c>
      <c r="E731" s="7" t="s">
        <v>1356</v>
      </c>
      <c r="F731" s="7" t="str">
        <f t="shared" si="46"/>
        <v>Eko Prasetyo</v>
      </c>
      <c r="G731" s="7" t="s">
        <v>1358</v>
      </c>
      <c r="H731" s="7" t="s">
        <v>1362</v>
      </c>
      <c r="I731" s="7">
        <v>4</v>
      </c>
      <c r="J731" s="7" t="str">
        <f>INDEX(Master_Produk!$C$2:$C$11,MATCH(H731,Master_Produk!$A$2:$A$11,0))</f>
        <v>Pakaian</v>
      </c>
      <c r="K731" s="8">
        <f>INDEX(Master_Produk!$E$2:$E$11,MATCH(Data_Transaksi!H731,Master_Produk!$A$2:$A$11,0))</f>
        <v>350000</v>
      </c>
      <c r="L731" s="8">
        <f t="shared" si="47"/>
        <v>1400000</v>
      </c>
      <c r="M731" s="8">
        <f>INDEX(Master_Target!$B$2:$M$4, MATCH(J731, Master_Target!$A$2:$A$4, 0), MATCH(TEXT(B731, "[$-421]mmmm"), Master_Target!$B$1:$M$1, 0))</f>
        <v>27000000</v>
      </c>
    </row>
    <row r="732" spans="1:13" x14ac:dyDescent="0.25">
      <c r="A732" s="7" t="s">
        <v>741</v>
      </c>
      <c r="B732" s="11" t="s">
        <v>1252</v>
      </c>
      <c r="C732" s="7">
        <f t="shared" si="44"/>
        <v>9</v>
      </c>
      <c r="D732" s="7" t="str">
        <f t="shared" si="45"/>
        <v>Sep</v>
      </c>
      <c r="E732" s="7" t="s">
        <v>1349</v>
      </c>
      <c r="F732" s="7" t="str">
        <f t="shared" si="46"/>
        <v>Dewi Lestari</v>
      </c>
      <c r="G732" s="7" t="s">
        <v>1358</v>
      </c>
      <c r="H732" s="7" t="s">
        <v>1365</v>
      </c>
      <c r="I732" s="7">
        <v>2</v>
      </c>
      <c r="J732" s="7" t="str">
        <f>INDEX(Master_Produk!$C$2:$C$11,MATCH(H732,Master_Produk!$A$2:$A$11,0))</f>
        <v>Elektronik</v>
      </c>
      <c r="K732" s="8">
        <f>INDEX(Master_Produk!$E$2:$E$11,MATCH(Data_Transaksi!H732,Master_Produk!$A$2:$A$11,0))</f>
        <v>1800000</v>
      </c>
      <c r="L732" s="8">
        <f t="shared" si="47"/>
        <v>3600000</v>
      </c>
      <c r="M732" s="8">
        <f>INDEX(Master_Target!$B$2:$M$4, MATCH(J732, Master_Target!$A$2:$A$4, 0), MATCH(TEXT(B732, "[$-421]mmmm"), Master_Target!$B$1:$M$1, 0))</f>
        <v>90000000</v>
      </c>
    </row>
    <row r="733" spans="1:13" x14ac:dyDescent="0.25">
      <c r="A733" s="7" t="s">
        <v>742</v>
      </c>
      <c r="B733" s="11" t="s">
        <v>1252</v>
      </c>
      <c r="C733" s="7">
        <f t="shared" si="44"/>
        <v>9</v>
      </c>
      <c r="D733" s="7" t="str">
        <f t="shared" si="45"/>
        <v>Sep</v>
      </c>
      <c r="E733" s="7" t="s">
        <v>1353</v>
      </c>
      <c r="F733" s="7" t="str">
        <f t="shared" si="46"/>
        <v>Sari Yuliana</v>
      </c>
      <c r="G733" s="7" t="s">
        <v>1358</v>
      </c>
      <c r="H733" s="7" t="s">
        <v>1371</v>
      </c>
      <c r="I733" s="7">
        <v>2</v>
      </c>
      <c r="J733" s="7" t="str">
        <f>INDEX(Master_Produk!$C$2:$C$11,MATCH(H733,Master_Produk!$A$2:$A$11,0))</f>
        <v>Pakaian</v>
      </c>
      <c r="K733" s="8">
        <f>INDEX(Master_Produk!$E$2:$E$11,MATCH(Data_Transaksi!H733,Master_Produk!$A$2:$A$11,0))</f>
        <v>280000</v>
      </c>
      <c r="L733" s="8">
        <f t="shared" si="47"/>
        <v>560000</v>
      </c>
      <c r="M733" s="8">
        <f>INDEX(Master_Target!$B$2:$M$4, MATCH(J733, Master_Target!$A$2:$A$4, 0), MATCH(TEXT(B733, "[$-421]mmmm"), Master_Target!$B$1:$M$1, 0))</f>
        <v>27000000</v>
      </c>
    </row>
    <row r="734" spans="1:13" x14ac:dyDescent="0.25">
      <c r="A734" s="7" t="s">
        <v>743</v>
      </c>
      <c r="B734" s="11" t="s">
        <v>1253</v>
      </c>
      <c r="C734" s="7">
        <f t="shared" si="44"/>
        <v>9</v>
      </c>
      <c r="D734" s="7" t="str">
        <f t="shared" si="45"/>
        <v>Sep</v>
      </c>
      <c r="E734" s="7" t="s">
        <v>1349</v>
      </c>
      <c r="F734" s="7" t="str">
        <f t="shared" si="46"/>
        <v>Dewi Lestari</v>
      </c>
      <c r="G734" s="7" t="s">
        <v>1359</v>
      </c>
      <c r="H734" s="7" t="s">
        <v>1366</v>
      </c>
      <c r="I734" s="7">
        <v>2</v>
      </c>
      <c r="J734" s="7" t="str">
        <f>INDEX(Master_Produk!$C$2:$C$11,MATCH(H734,Master_Produk!$A$2:$A$11,0))</f>
        <v>Elektronik</v>
      </c>
      <c r="K734" s="8">
        <f>INDEX(Master_Produk!$E$2:$E$11,MATCH(Data_Transaksi!H734,Master_Produk!$A$2:$A$11,0))</f>
        <v>7500000</v>
      </c>
      <c r="L734" s="8">
        <f t="shared" si="47"/>
        <v>15000000</v>
      </c>
      <c r="M734" s="8">
        <f>INDEX(Master_Target!$B$2:$M$4, MATCH(J734, Master_Target!$A$2:$A$4, 0), MATCH(TEXT(B734, "[$-421]mmmm"), Master_Target!$B$1:$M$1, 0))</f>
        <v>90000000</v>
      </c>
    </row>
    <row r="735" spans="1:13" x14ac:dyDescent="0.25">
      <c r="A735" s="7" t="s">
        <v>744</v>
      </c>
      <c r="B735" s="11" t="s">
        <v>1254</v>
      </c>
      <c r="C735" s="7">
        <f t="shared" si="44"/>
        <v>9</v>
      </c>
      <c r="D735" s="7" t="str">
        <f t="shared" si="45"/>
        <v>Sep</v>
      </c>
      <c r="E735" s="7" t="s">
        <v>1352</v>
      </c>
      <c r="F735" s="7" t="str">
        <f t="shared" si="46"/>
        <v>Ahmad Fauzi</v>
      </c>
      <c r="G735" s="7" t="s">
        <v>1361</v>
      </c>
      <c r="H735" s="7" t="s">
        <v>1363</v>
      </c>
      <c r="I735" s="7">
        <v>2</v>
      </c>
      <c r="J735" s="7" t="str">
        <f>INDEX(Master_Produk!$C$2:$C$11,MATCH(H735,Master_Produk!$A$2:$A$11,0))</f>
        <v>Pakaian</v>
      </c>
      <c r="K735" s="8">
        <f>INDEX(Master_Produk!$E$2:$E$11,MATCH(Data_Transaksi!H735,Master_Produk!$A$2:$A$11,0))</f>
        <v>250000</v>
      </c>
      <c r="L735" s="8">
        <f t="shared" si="47"/>
        <v>500000</v>
      </c>
      <c r="M735" s="8">
        <f>INDEX(Master_Target!$B$2:$M$4, MATCH(J735, Master_Target!$A$2:$A$4, 0), MATCH(TEXT(B735, "[$-421]mmmm"), Master_Target!$B$1:$M$1, 0))</f>
        <v>27000000</v>
      </c>
    </row>
    <row r="736" spans="1:13" x14ac:dyDescent="0.25">
      <c r="A736" s="7" t="s">
        <v>745</v>
      </c>
      <c r="B736" s="11" t="s">
        <v>1254</v>
      </c>
      <c r="C736" s="7">
        <f t="shared" si="44"/>
        <v>9</v>
      </c>
      <c r="D736" s="7" t="str">
        <f t="shared" si="45"/>
        <v>Sep</v>
      </c>
      <c r="E736" s="7" t="s">
        <v>1348</v>
      </c>
      <c r="F736" s="7" t="str">
        <f t="shared" si="46"/>
        <v>Budi Santoso</v>
      </c>
      <c r="G736" s="7" t="s">
        <v>1357</v>
      </c>
      <c r="H736" s="7" t="s">
        <v>1367</v>
      </c>
      <c r="I736" s="7">
        <v>1</v>
      </c>
      <c r="J736" s="7" t="str">
        <f>INDEX(Master_Produk!$C$2:$C$11,MATCH(H736,Master_Produk!$A$2:$A$11,0))</f>
        <v>Elektronik</v>
      </c>
      <c r="K736" s="8">
        <f>INDEX(Master_Produk!$E$2:$E$11,MATCH(Data_Transaksi!H736,Master_Produk!$A$2:$A$11,0))</f>
        <v>250000</v>
      </c>
      <c r="L736" s="8">
        <f t="shared" si="47"/>
        <v>250000</v>
      </c>
      <c r="M736" s="8">
        <f>INDEX(Master_Target!$B$2:$M$4, MATCH(J736, Master_Target!$A$2:$A$4, 0), MATCH(TEXT(B736, "[$-421]mmmm"), Master_Target!$B$1:$M$1, 0))</f>
        <v>90000000</v>
      </c>
    </row>
    <row r="737" spans="1:13" x14ac:dyDescent="0.25">
      <c r="A737" s="7" t="s">
        <v>746</v>
      </c>
      <c r="B737" s="11" t="s">
        <v>1254</v>
      </c>
      <c r="C737" s="7">
        <f t="shared" si="44"/>
        <v>9</v>
      </c>
      <c r="D737" s="7" t="str">
        <f t="shared" si="45"/>
        <v>Sep</v>
      </c>
      <c r="E737" s="7" t="s">
        <v>1352</v>
      </c>
      <c r="F737" s="7" t="str">
        <f t="shared" si="46"/>
        <v>Ahmad Fauzi</v>
      </c>
      <c r="G737" s="7" t="s">
        <v>1360</v>
      </c>
      <c r="H737" s="7" t="s">
        <v>1367</v>
      </c>
      <c r="I737" s="7">
        <v>1</v>
      </c>
      <c r="J737" s="7" t="str">
        <f>INDEX(Master_Produk!$C$2:$C$11,MATCH(H737,Master_Produk!$A$2:$A$11,0))</f>
        <v>Elektronik</v>
      </c>
      <c r="K737" s="8">
        <f>INDEX(Master_Produk!$E$2:$E$11,MATCH(Data_Transaksi!H737,Master_Produk!$A$2:$A$11,0))</f>
        <v>250000</v>
      </c>
      <c r="L737" s="8">
        <f t="shared" si="47"/>
        <v>250000</v>
      </c>
      <c r="M737" s="8">
        <f>INDEX(Master_Target!$B$2:$M$4, MATCH(J737, Master_Target!$A$2:$A$4, 0), MATCH(TEXT(B737, "[$-421]mmmm"), Master_Target!$B$1:$M$1, 0))</f>
        <v>90000000</v>
      </c>
    </row>
    <row r="738" spans="1:13" x14ac:dyDescent="0.25">
      <c r="A738" s="7" t="s">
        <v>747</v>
      </c>
      <c r="B738" s="11" t="s">
        <v>1254</v>
      </c>
      <c r="C738" s="7">
        <f t="shared" si="44"/>
        <v>9</v>
      </c>
      <c r="D738" s="7" t="str">
        <f t="shared" si="45"/>
        <v>Sep</v>
      </c>
      <c r="E738" s="7" t="s">
        <v>1350</v>
      </c>
      <c r="F738" s="7" t="str">
        <f t="shared" si="46"/>
        <v>Andi Wijaya</v>
      </c>
      <c r="G738" s="7" t="s">
        <v>1357</v>
      </c>
      <c r="H738" s="7" t="s">
        <v>1364</v>
      </c>
      <c r="I738" s="7">
        <v>1</v>
      </c>
      <c r="J738" s="7" t="str">
        <f>INDEX(Master_Produk!$C$2:$C$11,MATCH(H738,Master_Produk!$A$2:$A$11,0))</f>
        <v>Furnitur</v>
      </c>
      <c r="K738" s="8">
        <f>INDEX(Master_Produk!$E$2:$E$11,MATCH(Data_Transaksi!H738,Master_Produk!$A$2:$A$11,0))</f>
        <v>950000</v>
      </c>
      <c r="L738" s="8">
        <f t="shared" si="47"/>
        <v>950000</v>
      </c>
      <c r="M738" s="8">
        <f>INDEX(Master_Target!$B$2:$M$4, MATCH(J738, Master_Target!$A$2:$A$4, 0), MATCH(TEXT(B738, "[$-421]mmmm"), Master_Target!$B$1:$M$1, 0))</f>
        <v>36000000</v>
      </c>
    </row>
    <row r="739" spans="1:13" x14ac:dyDescent="0.25">
      <c r="A739" s="7" t="s">
        <v>748</v>
      </c>
      <c r="B739" s="11" t="s">
        <v>1254</v>
      </c>
      <c r="C739" s="7">
        <f t="shared" si="44"/>
        <v>9</v>
      </c>
      <c r="D739" s="7" t="str">
        <f t="shared" si="45"/>
        <v>Sep</v>
      </c>
      <c r="E739" s="7" t="s">
        <v>1347</v>
      </c>
      <c r="F739" s="7" t="str">
        <f t="shared" si="46"/>
        <v>Rina Marlina</v>
      </c>
      <c r="G739" s="7" t="s">
        <v>1361</v>
      </c>
      <c r="H739" s="7" t="s">
        <v>1371</v>
      </c>
      <c r="I739" s="7">
        <v>3</v>
      </c>
      <c r="J739" s="7" t="str">
        <f>INDEX(Master_Produk!$C$2:$C$11,MATCH(H739,Master_Produk!$A$2:$A$11,0))</f>
        <v>Pakaian</v>
      </c>
      <c r="K739" s="8">
        <f>INDEX(Master_Produk!$E$2:$E$11,MATCH(Data_Transaksi!H739,Master_Produk!$A$2:$A$11,0))</f>
        <v>280000</v>
      </c>
      <c r="L739" s="8">
        <f t="shared" si="47"/>
        <v>840000</v>
      </c>
      <c r="M739" s="8">
        <f>INDEX(Master_Target!$B$2:$M$4, MATCH(J739, Master_Target!$A$2:$A$4, 0), MATCH(TEXT(B739, "[$-421]mmmm"), Master_Target!$B$1:$M$1, 0))</f>
        <v>27000000</v>
      </c>
    </row>
    <row r="740" spans="1:13" x14ac:dyDescent="0.25">
      <c r="A740" s="7" t="s">
        <v>749</v>
      </c>
      <c r="B740" s="11" t="s">
        <v>1254</v>
      </c>
      <c r="C740" s="7">
        <f t="shared" si="44"/>
        <v>9</v>
      </c>
      <c r="D740" s="7" t="str">
        <f t="shared" si="45"/>
        <v>Sep</v>
      </c>
      <c r="E740" s="7" t="s">
        <v>1350</v>
      </c>
      <c r="F740" s="7" t="str">
        <f t="shared" si="46"/>
        <v>Andi Wijaya</v>
      </c>
      <c r="G740" s="7" t="s">
        <v>1361</v>
      </c>
      <c r="H740" s="7" t="s">
        <v>1368</v>
      </c>
      <c r="I740" s="7">
        <v>1</v>
      </c>
      <c r="J740" s="7" t="str">
        <f>INDEX(Master_Produk!$C$2:$C$11,MATCH(H740,Master_Produk!$A$2:$A$11,0))</f>
        <v>Furnitur</v>
      </c>
      <c r="K740" s="8">
        <f>INDEX(Master_Produk!$E$2:$E$11,MATCH(Data_Transaksi!H740,Master_Produk!$A$2:$A$11,0))</f>
        <v>650000</v>
      </c>
      <c r="L740" s="8">
        <f t="shared" si="47"/>
        <v>650000</v>
      </c>
      <c r="M740" s="8">
        <f>INDEX(Master_Target!$B$2:$M$4, MATCH(J740, Master_Target!$A$2:$A$4, 0), MATCH(TEXT(B740, "[$-421]mmmm"), Master_Target!$B$1:$M$1, 0))</f>
        <v>36000000</v>
      </c>
    </row>
    <row r="741" spans="1:13" x14ac:dyDescent="0.25">
      <c r="A741" s="7" t="s">
        <v>750</v>
      </c>
      <c r="B741" s="11" t="s">
        <v>1255</v>
      </c>
      <c r="C741" s="7">
        <f t="shared" si="44"/>
        <v>9</v>
      </c>
      <c r="D741" s="7" t="str">
        <f t="shared" si="45"/>
        <v>Sep</v>
      </c>
      <c r="E741" s="7" t="s">
        <v>1354</v>
      </c>
      <c r="F741" s="7" t="str">
        <f t="shared" si="46"/>
        <v>Mega Utami</v>
      </c>
      <c r="G741" s="7" t="s">
        <v>1360</v>
      </c>
      <c r="H741" s="7" t="s">
        <v>1365</v>
      </c>
      <c r="I741" s="7">
        <v>2</v>
      </c>
      <c r="J741" s="7" t="str">
        <f>INDEX(Master_Produk!$C$2:$C$11,MATCH(H741,Master_Produk!$A$2:$A$11,0))</f>
        <v>Elektronik</v>
      </c>
      <c r="K741" s="8">
        <f>INDEX(Master_Produk!$E$2:$E$11,MATCH(Data_Transaksi!H741,Master_Produk!$A$2:$A$11,0))</f>
        <v>1800000</v>
      </c>
      <c r="L741" s="8">
        <f t="shared" si="47"/>
        <v>3600000</v>
      </c>
      <c r="M741" s="8">
        <f>INDEX(Master_Target!$B$2:$M$4, MATCH(J741, Master_Target!$A$2:$A$4, 0), MATCH(TEXT(B741, "[$-421]mmmm"), Master_Target!$B$1:$M$1, 0))</f>
        <v>90000000</v>
      </c>
    </row>
    <row r="742" spans="1:13" x14ac:dyDescent="0.25">
      <c r="A742" s="7" t="s">
        <v>751</v>
      </c>
      <c r="B742" s="11" t="s">
        <v>1255</v>
      </c>
      <c r="C742" s="7">
        <f t="shared" si="44"/>
        <v>9</v>
      </c>
      <c r="D742" s="7" t="str">
        <f t="shared" si="45"/>
        <v>Sep</v>
      </c>
      <c r="E742" s="7" t="s">
        <v>1355</v>
      </c>
      <c r="F742" s="7" t="str">
        <f t="shared" si="46"/>
        <v>Bambang H.</v>
      </c>
      <c r="G742" s="7" t="s">
        <v>1359</v>
      </c>
      <c r="H742" s="7" t="s">
        <v>1365</v>
      </c>
      <c r="I742" s="7">
        <v>5</v>
      </c>
      <c r="J742" s="7" t="str">
        <f>INDEX(Master_Produk!$C$2:$C$11,MATCH(H742,Master_Produk!$A$2:$A$11,0))</f>
        <v>Elektronik</v>
      </c>
      <c r="K742" s="8">
        <f>INDEX(Master_Produk!$E$2:$E$11,MATCH(Data_Transaksi!H742,Master_Produk!$A$2:$A$11,0))</f>
        <v>1800000</v>
      </c>
      <c r="L742" s="8">
        <f t="shared" si="47"/>
        <v>9000000</v>
      </c>
      <c r="M742" s="8">
        <f>INDEX(Master_Target!$B$2:$M$4, MATCH(J742, Master_Target!$A$2:$A$4, 0), MATCH(TEXT(B742, "[$-421]mmmm"), Master_Target!$B$1:$M$1, 0))</f>
        <v>90000000</v>
      </c>
    </row>
    <row r="743" spans="1:13" x14ac:dyDescent="0.25">
      <c r="A743" s="7" t="s">
        <v>752</v>
      </c>
      <c r="B743" s="11" t="s">
        <v>1256</v>
      </c>
      <c r="C743" s="7">
        <f t="shared" si="44"/>
        <v>9</v>
      </c>
      <c r="D743" s="7" t="str">
        <f t="shared" si="45"/>
        <v>Sep</v>
      </c>
      <c r="E743" s="7" t="s">
        <v>1352</v>
      </c>
      <c r="F743" s="7" t="str">
        <f t="shared" si="46"/>
        <v>Ahmad Fauzi</v>
      </c>
      <c r="G743" s="7" t="s">
        <v>1358</v>
      </c>
      <c r="H743" s="7" t="s">
        <v>1370</v>
      </c>
      <c r="I743" s="7">
        <v>1</v>
      </c>
      <c r="J743" s="7" t="str">
        <f>INDEX(Master_Produk!$C$2:$C$11,MATCH(H743,Master_Produk!$A$2:$A$11,0))</f>
        <v>Furnitur</v>
      </c>
      <c r="K743" s="8">
        <f>INDEX(Master_Produk!$E$2:$E$11,MATCH(Data_Transaksi!H743,Master_Produk!$A$2:$A$11,0))</f>
        <v>1200000</v>
      </c>
      <c r="L743" s="8">
        <f t="shared" si="47"/>
        <v>1200000</v>
      </c>
      <c r="M743" s="8">
        <f>INDEX(Master_Target!$B$2:$M$4, MATCH(J743, Master_Target!$A$2:$A$4, 0), MATCH(TEXT(B743, "[$-421]mmmm"), Master_Target!$B$1:$M$1, 0))</f>
        <v>36000000</v>
      </c>
    </row>
    <row r="744" spans="1:13" x14ac:dyDescent="0.25">
      <c r="A744" s="7" t="s">
        <v>753</v>
      </c>
      <c r="B744" s="11" t="s">
        <v>1256</v>
      </c>
      <c r="C744" s="7">
        <f t="shared" si="44"/>
        <v>9</v>
      </c>
      <c r="D744" s="7" t="str">
        <f t="shared" si="45"/>
        <v>Sep</v>
      </c>
      <c r="E744" s="7" t="s">
        <v>1350</v>
      </c>
      <c r="F744" s="7" t="str">
        <f t="shared" si="46"/>
        <v>Andi Wijaya</v>
      </c>
      <c r="G744" s="7" t="s">
        <v>1359</v>
      </c>
      <c r="H744" s="7" t="s">
        <v>1362</v>
      </c>
      <c r="I744" s="7">
        <v>2</v>
      </c>
      <c r="J744" s="7" t="str">
        <f>INDEX(Master_Produk!$C$2:$C$11,MATCH(H744,Master_Produk!$A$2:$A$11,0))</f>
        <v>Pakaian</v>
      </c>
      <c r="K744" s="8">
        <f>INDEX(Master_Produk!$E$2:$E$11,MATCH(Data_Transaksi!H744,Master_Produk!$A$2:$A$11,0))</f>
        <v>350000</v>
      </c>
      <c r="L744" s="8">
        <f t="shared" si="47"/>
        <v>700000</v>
      </c>
      <c r="M744" s="8">
        <f>INDEX(Master_Target!$B$2:$M$4, MATCH(J744, Master_Target!$A$2:$A$4, 0), MATCH(TEXT(B744, "[$-421]mmmm"), Master_Target!$B$1:$M$1, 0))</f>
        <v>27000000</v>
      </c>
    </row>
    <row r="745" spans="1:13" x14ac:dyDescent="0.25">
      <c r="A745" s="7" t="s">
        <v>754</v>
      </c>
      <c r="B745" s="11" t="s">
        <v>1257</v>
      </c>
      <c r="C745" s="7">
        <f t="shared" si="44"/>
        <v>9</v>
      </c>
      <c r="D745" s="7" t="str">
        <f t="shared" si="45"/>
        <v>Sep</v>
      </c>
      <c r="E745" s="7" t="s">
        <v>1355</v>
      </c>
      <c r="F745" s="7" t="str">
        <f t="shared" si="46"/>
        <v>Bambang H.</v>
      </c>
      <c r="G745" s="7" t="s">
        <v>1361</v>
      </c>
      <c r="H745" s="7" t="s">
        <v>1365</v>
      </c>
      <c r="I745" s="7">
        <v>2</v>
      </c>
      <c r="J745" s="7" t="str">
        <f>INDEX(Master_Produk!$C$2:$C$11,MATCH(H745,Master_Produk!$A$2:$A$11,0))</f>
        <v>Elektronik</v>
      </c>
      <c r="K745" s="8">
        <f>INDEX(Master_Produk!$E$2:$E$11,MATCH(Data_Transaksi!H745,Master_Produk!$A$2:$A$11,0))</f>
        <v>1800000</v>
      </c>
      <c r="L745" s="8">
        <f t="shared" si="47"/>
        <v>3600000</v>
      </c>
      <c r="M745" s="8">
        <f>INDEX(Master_Target!$B$2:$M$4, MATCH(J745, Master_Target!$A$2:$A$4, 0), MATCH(TEXT(B745, "[$-421]mmmm"), Master_Target!$B$1:$M$1, 0))</f>
        <v>90000000</v>
      </c>
    </row>
    <row r="746" spans="1:13" x14ac:dyDescent="0.25">
      <c r="A746" s="7" t="s">
        <v>755</v>
      </c>
      <c r="B746" s="11" t="s">
        <v>1257</v>
      </c>
      <c r="C746" s="7">
        <f t="shared" si="44"/>
        <v>9</v>
      </c>
      <c r="D746" s="7" t="str">
        <f t="shared" si="45"/>
        <v>Sep</v>
      </c>
      <c r="E746" s="7" t="s">
        <v>1355</v>
      </c>
      <c r="F746" s="7" t="str">
        <f t="shared" si="46"/>
        <v>Bambang H.</v>
      </c>
      <c r="G746" s="7" t="s">
        <v>1361</v>
      </c>
      <c r="H746" s="7" t="s">
        <v>1369</v>
      </c>
      <c r="I746" s="7">
        <v>4</v>
      </c>
      <c r="J746" s="7" t="str">
        <f>INDEX(Master_Produk!$C$2:$C$11,MATCH(H746,Master_Produk!$A$2:$A$11,0))</f>
        <v>Elektronik</v>
      </c>
      <c r="K746" s="8">
        <f>INDEX(Master_Produk!$E$2:$E$11,MATCH(Data_Transaksi!H746,Master_Produk!$A$2:$A$11,0))</f>
        <v>4500000</v>
      </c>
      <c r="L746" s="8">
        <f t="shared" si="47"/>
        <v>18000000</v>
      </c>
      <c r="M746" s="8">
        <f>INDEX(Master_Target!$B$2:$M$4, MATCH(J746, Master_Target!$A$2:$A$4, 0), MATCH(TEXT(B746, "[$-421]mmmm"), Master_Target!$B$1:$M$1, 0))</f>
        <v>90000000</v>
      </c>
    </row>
    <row r="747" spans="1:13" x14ac:dyDescent="0.25">
      <c r="A747" s="7" t="s">
        <v>756</v>
      </c>
      <c r="B747" s="11" t="s">
        <v>1257</v>
      </c>
      <c r="C747" s="7">
        <f t="shared" si="44"/>
        <v>9</v>
      </c>
      <c r="D747" s="7" t="str">
        <f t="shared" si="45"/>
        <v>Sep</v>
      </c>
      <c r="E747" s="7" t="s">
        <v>1355</v>
      </c>
      <c r="F747" s="7" t="str">
        <f t="shared" si="46"/>
        <v>Bambang H.</v>
      </c>
      <c r="G747" s="7" t="s">
        <v>1359</v>
      </c>
      <c r="H747" s="7" t="s">
        <v>1362</v>
      </c>
      <c r="I747" s="7">
        <v>1</v>
      </c>
      <c r="J747" s="7" t="str">
        <f>INDEX(Master_Produk!$C$2:$C$11,MATCH(H747,Master_Produk!$A$2:$A$11,0))</f>
        <v>Pakaian</v>
      </c>
      <c r="K747" s="8">
        <f>INDEX(Master_Produk!$E$2:$E$11,MATCH(Data_Transaksi!H747,Master_Produk!$A$2:$A$11,0))</f>
        <v>350000</v>
      </c>
      <c r="L747" s="8">
        <f t="shared" si="47"/>
        <v>350000</v>
      </c>
      <c r="M747" s="8">
        <f>INDEX(Master_Target!$B$2:$M$4, MATCH(J747, Master_Target!$A$2:$A$4, 0), MATCH(TEXT(B747, "[$-421]mmmm"), Master_Target!$B$1:$M$1, 0))</f>
        <v>27000000</v>
      </c>
    </row>
    <row r="748" spans="1:13" x14ac:dyDescent="0.25">
      <c r="A748" s="7" t="s">
        <v>757</v>
      </c>
      <c r="B748" s="11" t="s">
        <v>1257</v>
      </c>
      <c r="C748" s="7">
        <f t="shared" si="44"/>
        <v>9</v>
      </c>
      <c r="D748" s="7" t="str">
        <f t="shared" si="45"/>
        <v>Sep</v>
      </c>
      <c r="E748" s="7" t="s">
        <v>1348</v>
      </c>
      <c r="F748" s="7" t="str">
        <f t="shared" si="46"/>
        <v>Budi Santoso</v>
      </c>
      <c r="G748" s="7" t="s">
        <v>1358</v>
      </c>
      <c r="H748" s="7" t="s">
        <v>1363</v>
      </c>
      <c r="I748" s="7">
        <v>2</v>
      </c>
      <c r="J748" s="7" t="str">
        <f>INDEX(Master_Produk!$C$2:$C$11,MATCH(H748,Master_Produk!$A$2:$A$11,0))</f>
        <v>Pakaian</v>
      </c>
      <c r="K748" s="8">
        <f>INDEX(Master_Produk!$E$2:$E$11,MATCH(Data_Transaksi!H748,Master_Produk!$A$2:$A$11,0))</f>
        <v>250000</v>
      </c>
      <c r="L748" s="8">
        <f t="shared" si="47"/>
        <v>500000</v>
      </c>
      <c r="M748" s="8">
        <f>INDEX(Master_Target!$B$2:$M$4, MATCH(J748, Master_Target!$A$2:$A$4, 0), MATCH(TEXT(B748, "[$-421]mmmm"), Master_Target!$B$1:$M$1, 0))</f>
        <v>27000000</v>
      </c>
    </row>
    <row r="749" spans="1:13" x14ac:dyDescent="0.25">
      <c r="A749" s="7" t="s">
        <v>758</v>
      </c>
      <c r="B749" s="11" t="s">
        <v>1257</v>
      </c>
      <c r="C749" s="7">
        <f t="shared" si="44"/>
        <v>9</v>
      </c>
      <c r="D749" s="7" t="str">
        <f t="shared" si="45"/>
        <v>Sep</v>
      </c>
      <c r="E749" s="7" t="s">
        <v>1347</v>
      </c>
      <c r="F749" s="7" t="str">
        <f t="shared" si="46"/>
        <v>Rina Marlina</v>
      </c>
      <c r="G749" s="7" t="s">
        <v>1358</v>
      </c>
      <c r="H749" s="7" t="s">
        <v>1364</v>
      </c>
      <c r="I749" s="7">
        <v>3</v>
      </c>
      <c r="J749" s="7" t="str">
        <f>INDEX(Master_Produk!$C$2:$C$11,MATCH(H749,Master_Produk!$A$2:$A$11,0))</f>
        <v>Furnitur</v>
      </c>
      <c r="K749" s="8">
        <f>INDEX(Master_Produk!$E$2:$E$11,MATCH(Data_Transaksi!H749,Master_Produk!$A$2:$A$11,0))</f>
        <v>950000</v>
      </c>
      <c r="L749" s="8">
        <f t="shared" si="47"/>
        <v>2850000</v>
      </c>
      <c r="M749" s="8">
        <f>INDEX(Master_Target!$B$2:$M$4, MATCH(J749, Master_Target!$A$2:$A$4, 0), MATCH(TEXT(B749, "[$-421]mmmm"), Master_Target!$B$1:$M$1, 0))</f>
        <v>36000000</v>
      </c>
    </row>
    <row r="750" spans="1:13" x14ac:dyDescent="0.25">
      <c r="A750" s="7" t="s">
        <v>759</v>
      </c>
      <c r="B750" s="11" t="s">
        <v>1258</v>
      </c>
      <c r="C750" s="7">
        <f t="shared" si="44"/>
        <v>9</v>
      </c>
      <c r="D750" s="7" t="str">
        <f t="shared" si="45"/>
        <v>Sep</v>
      </c>
      <c r="E750" s="7" t="s">
        <v>1349</v>
      </c>
      <c r="F750" s="7" t="str">
        <f t="shared" si="46"/>
        <v>Dewi Lestari</v>
      </c>
      <c r="G750" s="7" t="s">
        <v>1361</v>
      </c>
      <c r="H750" s="7" t="s">
        <v>1369</v>
      </c>
      <c r="I750" s="7">
        <v>5</v>
      </c>
      <c r="J750" s="7" t="str">
        <f>INDEX(Master_Produk!$C$2:$C$11,MATCH(H750,Master_Produk!$A$2:$A$11,0))</f>
        <v>Elektronik</v>
      </c>
      <c r="K750" s="8">
        <f>INDEX(Master_Produk!$E$2:$E$11,MATCH(Data_Transaksi!H750,Master_Produk!$A$2:$A$11,0))</f>
        <v>4500000</v>
      </c>
      <c r="L750" s="8">
        <f t="shared" si="47"/>
        <v>22500000</v>
      </c>
      <c r="M750" s="8">
        <f>INDEX(Master_Target!$B$2:$M$4, MATCH(J750, Master_Target!$A$2:$A$4, 0), MATCH(TEXT(B750, "[$-421]mmmm"), Master_Target!$B$1:$M$1, 0))</f>
        <v>90000000</v>
      </c>
    </row>
    <row r="751" spans="1:13" x14ac:dyDescent="0.25">
      <c r="A751" s="7" t="s">
        <v>760</v>
      </c>
      <c r="B751" s="11" t="s">
        <v>1259</v>
      </c>
      <c r="C751" s="7">
        <f t="shared" si="44"/>
        <v>9</v>
      </c>
      <c r="D751" s="7" t="str">
        <f t="shared" si="45"/>
        <v>Sep</v>
      </c>
      <c r="E751" s="7" t="s">
        <v>1350</v>
      </c>
      <c r="F751" s="7" t="str">
        <f t="shared" si="46"/>
        <v>Andi Wijaya</v>
      </c>
      <c r="G751" s="7" t="s">
        <v>1358</v>
      </c>
      <c r="H751" s="7" t="s">
        <v>1369</v>
      </c>
      <c r="I751" s="7">
        <v>2</v>
      </c>
      <c r="J751" s="7" t="str">
        <f>INDEX(Master_Produk!$C$2:$C$11,MATCH(H751,Master_Produk!$A$2:$A$11,0))</f>
        <v>Elektronik</v>
      </c>
      <c r="K751" s="8">
        <f>INDEX(Master_Produk!$E$2:$E$11,MATCH(Data_Transaksi!H751,Master_Produk!$A$2:$A$11,0))</f>
        <v>4500000</v>
      </c>
      <c r="L751" s="8">
        <f t="shared" si="47"/>
        <v>9000000</v>
      </c>
      <c r="M751" s="8">
        <f>INDEX(Master_Target!$B$2:$M$4, MATCH(J751, Master_Target!$A$2:$A$4, 0), MATCH(TEXT(B751, "[$-421]mmmm"), Master_Target!$B$1:$M$1, 0))</f>
        <v>90000000</v>
      </c>
    </row>
    <row r="752" spans="1:13" x14ac:dyDescent="0.25">
      <c r="A752" s="7" t="s">
        <v>761</v>
      </c>
      <c r="B752" s="11" t="s">
        <v>1260</v>
      </c>
      <c r="C752" s="7">
        <f t="shared" si="44"/>
        <v>9</v>
      </c>
      <c r="D752" s="7" t="str">
        <f t="shared" si="45"/>
        <v>Sep</v>
      </c>
      <c r="E752" s="7" t="s">
        <v>1354</v>
      </c>
      <c r="F752" s="7" t="str">
        <f t="shared" si="46"/>
        <v>Mega Utami</v>
      </c>
      <c r="G752" s="7" t="s">
        <v>1358</v>
      </c>
      <c r="H752" s="7" t="s">
        <v>1363</v>
      </c>
      <c r="I752" s="7">
        <v>2</v>
      </c>
      <c r="J752" s="7" t="str">
        <f>INDEX(Master_Produk!$C$2:$C$11,MATCH(H752,Master_Produk!$A$2:$A$11,0))</f>
        <v>Pakaian</v>
      </c>
      <c r="K752" s="8">
        <f>INDEX(Master_Produk!$E$2:$E$11,MATCH(Data_Transaksi!H752,Master_Produk!$A$2:$A$11,0))</f>
        <v>250000</v>
      </c>
      <c r="L752" s="8">
        <f t="shared" si="47"/>
        <v>500000</v>
      </c>
      <c r="M752" s="8">
        <f>INDEX(Master_Target!$B$2:$M$4, MATCH(J752, Master_Target!$A$2:$A$4, 0), MATCH(TEXT(B752, "[$-421]mmmm"), Master_Target!$B$1:$M$1, 0))</f>
        <v>27000000</v>
      </c>
    </row>
    <row r="753" spans="1:13" x14ac:dyDescent="0.25">
      <c r="A753" s="7" t="s">
        <v>762</v>
      </c>
      <c r="B753" s="11" t="s">
        <v>1260</v>
      </c>
      <c r="C753" s="7">
        <f t="shared" si="44"/>
        <v>9</v>
      </c>
      <c r="D753" s="7" t="str">
        <f t="shared" si="45"/>
        <v>Sep</v>
      </c>
      <c r="E753" s="7" t="s">
        <v>1350</v>
      </c>
      <c r="F753" s="7" t="str">
        <f t="shared" si="46"/>
        <v>Andi Wijaya</v>
      </c>
      <c r="G753" s="7" t="s">
        <v>1360</v>
      </c>
      <c r="H753" s="7" t="s">
        <v>1370</v>
      </c>
      <c r="I753" s="7">
        <v>2</v>
      </c>
      <c r="J753" s="7" t="str">
        <f>INDEX(Master_Produk!$C$2:$C$11,MATCH(H753,Master_Produk!$A$2:$A$11,0))</f>
        <v>Furnitur</v>
      </c>
      <c r="K753" s="8">
        <f>INDEX(Master_Produk!$E$2:$E$11,MATCH(Data_Transaksi!H753,Master_Produk!$A$2:$A$11,0))</f>
        <v>1200000</v>
      </c>
      <c r="L753" s="8">
        <f t="shared" si="47"/>
        <v>2400000</v>
      </c>
      <c r="M753" s="8">
        <f>INDEX(Master_Target!$B$2:$M$4, MATCH(J753, Master_Target!$A$2:$A$4, 0), MATCH(TEXT(B753, "[$-421]mmmm"), Master_Target!$B$1:$M$1, 0))</f>
        <v>36000000</v>
      </c>
    </row>
    <row r="754" spans="1:13" x14ac:dyDescent="0.25">
      <c r="A754" s="7" t="s">
        <v>763</v>
      </c>
      <c r="B754" s="11" t="s">
        <v>1260</v>
      </c>
      <c r="C754" s="7">
        <f t="shared" si="44"/>
        <v>9</v>
      </c>
      <c r="D754" s="7" t="str">
        <f t="shared" si="45"/>
        <v>Sep</v>
      </c>
      <c r="E754" s="7" t="s">
        <v>1349</v>
      </c>
      <c r="F754" s="7" t="str">
        <f t="shared" si="46"/>
        <v>Dewi Lestari</v>
      </c>
      <c r="G754" s="7" t="s">
        <v>1360</v>
      </c>
      <c r="H754" s="7" t="s">
        <v>1365</v>
      </c>
      <c r="I754" s="7">
        <v>4</v>
      </c>
      <c r="J754" s="7" t="str">
        <f>INDEX(Master_Produk!$C$2:$C$11,MATCH(H754,Master_Produk!$A$2:$A$11,0))</f>
        <v>Elektronik</v>
      </c>
      <c r="K754" s="8">
        <f>INDEX(Master_Produk!$E$2:$E$11,MATCH(Data_Transaksi!H754,Master_Produk!$A$2:$A$11,0))</f>
        <v>1800000</v>
      </c>
      <c r="L754" s="8">
        <f t="shared" si="47"/>
        <v>7200000</v>
      </c>
      <c r="M754" s="8">
        <f>INDEX(Master_Target!$B$2:$M$4, MATCH(J754, Master_Target!$A$2:$A$4, 0), MATCH(TEXT(B754, "[$-421]mmmm"), Master_Target!$B$1:$M$1, 0))</f>
        <v>90000000</v>
      </c>
    </row>
    <row r="755" spans="1:13" x14ac:dyDescent="0.25">
      <c r="A755" s="7" t="s">
        <v>764</v>
      </c>
      <c r="B755" s="11" t="s">
        <v>1260</v>
      </c>
      <c r="C755" s="7">
        <f t="shared" si="44"/>
        <v>9</v>
      </c>
      <c r="D755" s="7" t="str">
        <f t="shared" si="45"/>
        <v>Sep</v>
      </c>
      <c r="E755" s="7" t="s">
        <v>1353</v>
      </c>
      <c r="F755" s="7" t="str">
        <f t="shared" si="46"/>
        <v>Sari Yuliana</v>
      </c>
      <c r="G755" s="7" t="s">
        <v>1357</v>
      </c>
      <c r="H755" s="7" t="s">
        <v>1370</v>
      </c>
      <c r="I755" s="7">
        <v>2</v>
      </c>
      <c r="J755" s="7" t="str">
        <f>INDEX(Master_Produk!$C$2:$C$11,MATCH(H755,Master_Produk!$A$2:$A$11,0))</f>
        <v>Furnitur</v>
      </c>
      <c r="K755" s="8">
        <f>INDEX(Master_Produk!$E$2:$E$11,MATCH(Data_Transaksi!H755,Master_Produk!$A$2:$A$11,0))</f>
        <v>1200000</v>
      </c>
      <c r="L755" s="8">
        <f t="shared" si="47"/>
        <v>2400000</v>
      </c>
      <c r="M755" s="8">
        <f>INDEX(Master_Target!$B$2:$M$4, MATCH(J755, Master_Target!$A$2:$A$4, 0), MATCH(TEXT(B755, "[$-421]mmmm"), Master_Target!$B$1:$M$1, 0))</f>
        <v>36000000</v>
      </c>
    </row>
    <row r="756" spans="1:13" x14ac:dyDescent="0.25">
      <c r="A756" s="7" t="s">
        <v>765</v>
      </c>
      <c r="B756" s="11" t="s">
        <v>1261</v>
      </c>
      <c r="C756" s="7">
        <f t="shared" si="44"/>
        <v>9</v>
      </c>
      <c r="D756" s="7" t="str">
        <f t="shared" si="45"/>
        <v>Sep</v>
      </c>
      <c r="E756" s="7" t="s">
        <v>1356</v>
      </c>
      <c r="F756" s="7" t="str">
        <f t="shared" si="46"/>
        <v>Eko Prasetyo</v>
      </c>
      <c r="G756" s="7" t="s">
        <v>1359</v>
      </c>
      <c r="H756" s="7" t="s">
        <v>1365</v>
      </c>
      <c r="I756" s="7">
        <v>1</v>
      </c>
      <c r="J756" s="7" t="str">
        <f>INDEX(Master_Produk!$C$2:$C$11,MATCH(H756,Master_Produk!$A$2:$A$11,0))</f>
        <v>Elektronik</v>
      </c>
      <c r="K756" s="8">
        <f>INDEX(Master_Produk!$E$2:$E$11,MATCH(Data_Transaksi!H756,Master_Produk!$A$2:$A$11,0))</f>
        <v>1800000</v>
      </c>
      <c r="L756" s="8">
        <f t="shared" si="47"/>
        <v>1800000</v>
      </c>
      <c r="M756" s="8">
        <f>INDEX(Master_Target!$B$2:$M$4, MATCH(J756, Master_Target!$A$2:$A$4, 0), MATCH(TEXT(B756, "[$-421]mmmm"), Master_Target!$B$1:$M$1, 0))</f>
        <v>90000000</v>
      </c>
    </row>
    <row r="757" spans="1:13" x14ac:dyDescent="0.25">
      <c r="A757" s="7" t="s">
        <v>766</v>
      </c>
      <c r="B757" s="11" t="s">
        <v>1261</v>
      </c>
      <c r="C757" s="7">
        <f t="shared" si="44"/>
        <v>9</v>
      </c>
      <c r="D757" s="7" t="str">
        <f t="shared" si="45"/>
        <v>Sep</v>
      </c>
      <c r="E757" s="7" t="s">
        <v>1355</v>
      </c>
      <c r="F757" s="7" t="str">
        <f t="shared" si="46"/>
        <v>Bambang H.</v>
      </c>
      <c r="G757" s="7" t="s">
        <v>1361</v>
      </c>
      <c r="H757" s="7" t="s">
        <v>1371</v>
      </c>
      <c r="I757" s="7">
        <v>5</v>
      </c>
      <c r="J757" s="7" t="str">
        <f>INDEX(Master_Produk!$C$2:$C$11,MATCH(H757,Master_Produk!$A$2:$A$11,0))</f>
        <v>Pakaian</v>
      </c>
      <c r="K757" s="8">
        <f>INDEX(Master_Produk!$E$2:$E$11,MATCH(Data_Transaksi!H757,Master_Produk!$A$2:$A$11,0))</f>
        <v>280000</v>
      </c>
      <c r="L757" s="8">
        <f t="shared" si="47"/>
        <v>1400000</v>
      </c>
      <c r="M757" s="8">
        <f>INDEX(Master_Target!$B$2:$M$4, MATCH(J757, Master_Target!$A$2:$A$4, 0), MATCH(TEXT(B757, "[$-421]mmmm"), Master_Target!$B$1:$M$1, 0))</f>
        <v>27000000</v>
      </c>
    </row>
    <row r="758" spans="1:13" x14ac:dyDescent="0.25">
      <c r="A758" s="7" t="s">
        <v>767</v>
      </c>
      <c r="B758" s="11" t="s">
        <v>1262</v>
      </c>
      <c r="C758" s="7">
        <f t="shared" si="44"/>
        <v>9</v>
      </c>
      <c r="D758" s="7" t="str">
        <f t="shared" si="45"/>
        <v>Sep</v>
      </c>
      <c r="E758" s="7" t="s">
        <v>1352</v>
      </c>
      <c r="F758" s="7" t="str">
        <f t="shared" si="46"/>
        <v>Ahmad Fauzi</v>
      </c>
      <c r="G758" s="7" t="s">
        <v>1358</v>
      </c>
      <c r="H758" s="7" t="s">
        <v>1371</v>
      </c>
      <c r="I758" s="7">
        <v>2</v>
      </c>
      <c r="J758" s="7" t="str">
        <f>INDEX(Master_Produk!$C$2:$C$11,MATCH(H758,Master_Produk!$A$2:$A$11,0))</f>
        <v>Pakaian</v>
      </c>
      <c r="K758" s="8">
        <f>INDEX(Master_Produk!$E$2:$E$11,MATCH(Data_Transaksi!H758,Master_Produk!$A$2:$A$11,0))</f>
        <v>280000</v>
      </c>
      <c r="L758" s="8">
        <f t="shared" si="47"/>
        <v>560000</v>
      </c>
      <c r="M758" s="8">
        <f>INDEX(Master_Target!$B$2:$M$4, MATCH(J758, Master_Target!$A$2:$A$4, 0), MATCH(TEXT(B758, "[$-421]mmmm"), Master_Target!$B$1:$M$1, 0))</f>
        <v>27000000</v>
      </c>
    </row>
    <row r="759" spans="1:13" x14ac:dyDescent="0.25">
      <c r="A759" s="7" t="s">
        <v>768</v>
      </c>
      <c r="B759" s="11" t="s">
        <v>1262</v>
      </c>
      <c r="C759" s="7">
        <f t="shared" si="44"/>
        <v>9</v>
      </c>
      <c r="D759" s="7" t="str">
        <f t="shared" si="45"/>
        <v>Sep</v>
      </c>
      <c r="E759" s="7" t="s">
        <v>1352</v>
      </c>
      <c r="F759" s="7" t="str">
        <f t="shared" si="46"/>
        <v>Ahmad Fauzi</v>
      </c>
      <c r="G759" s="7" t="s">
        <v>1357</v>
      </c>
      <c r="H759" s="7" t="s">
        <v>1369</v>
      </c>
      <c r="I759" s="7">
        <v>2</v>
      </c>
      <c r="J759" s="7" t="str">
        <f>INDEX(Master_Produk!$C$2:$C$11,MATCH(H759,Master_Produk!$A$2:$A$11,0))</f>
        <v>Elektronik</v>
      </c>
      <c r="K759" s="8">
        <f>INDEX(Master_Produk!$E$2:$E$11,MATCH(Data_Transaksi!H759,Master_Produk!$A$2:$A$11,0))</f>
        <v>4500000</v>
      </c>
      <c r="L759" s="8">
        <f t="shared" si="47"/>
        <v>9000000</v>
      </c>
      <c r="M759" s="8">
        <f>INDEX(Master_Target!$B$2:$M$4, MATCH(J759, Master_Target!$A$2:$A$4, 0), MATCH(TEXT(B759, "[$-421]mmmm"), Master_Target!$B$1:$M$1, 0))</f>
        <v>90000000</v>
      </c>
    </row>
    <row r="760" spans="1:13" x14ac:dyDescent="0.25">
      <c r="A760" s="7" t="s">
        <v>769</v>
      </c>
      <c r="B760" s="11" t="s">
        <v>1262</v>
      </c>
      <c r="C760" s="7">
        <f t="shared" si="44"/>
        <v>9</v>
      </c>
      <c r="D760" s="7" t="str">
        <f t="shared" si="45"/>
        <v>Sep</v>
      </c>
      <c r="E760" s="7" t="s">
        <v>1356</v>
      </c>
      <c r="F760" s="7" t="str">
        <f t="shared" si="46"/>
        <v>Eko Prasetyo</v>
      </c>
      <c r="G760" s="7" t="s">
        <v>1360</v>
      </c>
      <c r="H760" s="7" t="s">
        <v>1369</v>
      </c>
      <c r="I760" s="7">
        <v>1</v>
      </c>
      <c r="J760" s="7" t="str">
        <f>INDEX(Master_Produk!$C$2:$C$11,MATCH(H760,Master_Produk!$A$2:$A$11,0))</f>
        <v>Elektronik</v>
      </c>
      <c r="K760" s="8">
        <f>INDEX(Master_Produk!$E$2:$E$11,MATCH(Data_Transaksi!H760,Master_Produk!$A$2:$A$11,0))</f>
        <v>4500000</v>
      </c>
      <c r="L760" s="8">
        <f t="shared" si="47"/>
        <v>4500000</v>
      </c>
      <c r="M760" s="8">
        <f>INDEX(Master_Target!$B$2:$M$4, MATCH(J760, Master_Target!$A$2:$A$4, 0), MATCH(TEXT(B760, "[$-421]mmmm"), Master_Target!$B$1:$M$1, 0))</f>
        <v>90000000</v>
      </c>
    </row>
    <row r="761" spans="1:13" x14ac:dyDescent="0.25">
      <c r="A761" s="7" t="s">
        <v>770</v>
      </c>
      <c r="B761" s="11" t="s">
        <v>1262</v>
      </c>
      <c r="C761" s="7">
        <f t="shared" si="44"/>
        <v>9</v>
      </c>
      <c r="D761" s="7" t="str">
        <f t="shared" si="45"/>
        <v>Sep</v>
      </c>
      <c r="E761" s="7" t="s">
        <v>1354</v>
      </c>
      <c r="F761" s="7" t="str">
        <f t="shared" si="46"/>
        <v>Mega Utami</v>
      </c>
      <c r="G761" s="7" t="s">
        <v>1358</v>
      </c>
      <c r="H761" s="7" t="s">
        <v>1366</v>
      </c>
      <c r="I761" s="7">
        <v>2</v>
      </c>
      <c r="J761" s="7" t="str">
        <f>INDEX(Master_Produk!$C$2:$C$11,MATCH(H761,Master_Produk!$A$2:$A$11,0))</f>
        <v>Elektronik</v>
      </c>
      <c r="K761" s="8">
        <f>INDEX(Master_Produk!$E$2:$E$11,MATCH(Data_Transaksi!H761,Master_Produk!$A$2:$A$11,0))</f>
        <v>7500000</v>
      </c>
      <c r="L761" s="8">
        <f t="shared" si="47"/>
        <v>15000000</v>
      </c>
      <c r="M761" s="8">
        <f>INDEX(Master_Target!$B$2:$M$4, MATCH(J761, Master_Target!$A$2:$A$4, 0), MATCH(TEXT(B761, "[$-421]mmmm"), Master_Target!$B$1:$M$1, 0))</f>
        <v>90000000</v>
      </c>
    </row>
    <row r="762" spans="1:13" x14ac:dyDescent="0.25">
      <c r="A762" s="7" t="s">
        <v>771</v>
      </c>
      <c r="B762" s="11" t="s">
        <v>1263</v>
      </c>
      <c r="C762" s="7">
        <f t="shared" si="44"/>
        <v>10</v>
      </c>
      <c r="D762" s="7" t="str">
        <f t="shared" si="45"/>
        <v>Oct</v>
      </c>
      <c r="E762" s="7" t="s">
        <v>1352</v>
      </c>
      <c r="F762" s="7" t="str">
        <f t="shared" si="46"/>
        <v>Ahmad Fauzi</v>
      </c>
      <c r="G762" s="7" t="s">
        <v>1359</v>
      </c>
      <c r="H762" s="7" t="s">
        <v>1363</v>
      </c>
      <c r="I762" s="7">
        <v>1</v>
      </c>
      <c r="J762" s="7" t="str">
        <f>INDEX(Master_Produk!$C$2:$C$11,MATCH(H762,Master_Produk!$A$2:$A$11,0))</f>
        <v>Pakaian</v>
      </c>
      <c r="K762" s="8">
        <f>INDEX(Master_Produk!$E$2:$E$11,MATCH(Data_Transaksi!H762,Master_Produk!$A$2:$A$11,0))</f>
        <v>250000</v>
      </c>
      <c r="L762" s="8">
        <f t="shared" si="47"/>
        <v>250000</v>
      </c>
      <c r="M762" s="8">
        <f>INDEX(Master_Target!$B$2:$M$4, MATCH(J762, Master_Target!$A$2:$A$4, 0), MATCH(TEXT(B762, "[$-421]mmmm"), Master_Target!$B$1:$M$1, 0))</f>
        <v>28500000</v>
      </c>
    </row>
    <row r="763" spans="1:13" x14ac:dyDescent="0.25">
      <c r="A763" s="7" t="s">
        <v>772</v>
      </c>
      <c r="B763" s="11" t="s">
        <v>1263</v>
      </c>
      <c r="C763" s="7">
        <f t="shared" si="44"/>
        <v>10</v>
      </c>
      <c r="D763" s="7" t="str">
        <f t="shared" si="45"/>
        <v>Oct</v>
      </c>
      <c r="E763" s="7" t="s">
        <v>1356</v>
      </c>
      <c r="F763" s="7" t="str">
        <f t="shared" si="46"/>
        <v>Eko Prasetyo</v>
      </c>
      <c r="G763" s="7" t="s">
        <v>1360</v>
      </c>
      <c r="H763" s="7" t="s">
        <v>1367</v>
      </c>
      <c r="I763" s="7">
        <v>2</v>
      </c>
      <c r="J763" s="7" t="str">
        <f>INDEX(Master_Produk!$C$2:$C$11,MATCH(H763,Master_Produk!$A$2:$A$11,0))</f>
        <v>Elektronik</v>
      </c>
      <c r="K763" s="8">
        <f>INDEX(Master_Produk!$E$2:$E$11,MATCH(Data_Transaksi!H763,Master_Produk!$A$2:$A$11,0))</f>
        <v>250000</v>
      </c>
      <c r="L763" s="8">
        <f t="shared" si="47"/>
        <v>500000</v>
      </c>
      <c r="M763" s="8">
        <f>INDEX(Master_Target!$B$2:$M$4, MATCH(J763, Master_Target!$A$2:$A$4, 0), MATCH(TEXT(B763, "[$-421]mmmm"), Master_Target!$B$1:$M$1, 0))</f>
        <v>95000000</v>
      </c>
    </row>
    <row r="764" spans="1:13" x14ac:dyDescent="0.25">
      <c r="A764" s="7" t="s">
        <v>773</v>
      </c>
      <c r="B764" s="11" t="s">
        <v>1264</v>
      </c>
      <c r="C764" s="7">
        <f t="shared" si="44"/>
        <v>10</v>
      </c>
      <c r="D764" s="7" t="str">
        <f t="shared" si="45"/>
        <v>Oct</v>
      </c>
      <c r="E764" s="7" t="s">
        <v>1356</v>
      </c>
      <c r="F764" s="7" t="str">
        <f t="shared" si="46"/>
        <v>Eko Prasetyo</v>
      </c>
      <c r="G764" s="7" t="s">
        <v>1361</v>
      </c>
      <c r="H764" s="7" t="s">
        <v>1371</v>
      </c>
      <c r="I764" s="7">
        <v>1</v>
      </c>
      <c r="J764" s="7" t="str">
        <f>INDEX(Master_Produk!$C$2:$C$11,MATCH(H764,Master_Produk!$A$2:$A$11,0))</f>
        <v>Pakaian</v>
      </c>
      <c r="K764" s="8">
        <f>INDEX(Master_Produk!$E$2:$E$11,MATCH(Data_Transaksi!H764,Master_Produk!$A$2:$A$11,0))</f>
        <v>280000</v>
      </c>
      <c r="L764" s="8">
        <f t="shared" si="47"/>
        <v>280000</v>
      </c>
      <c r="M764" s="8">
        <f>INDEX(Master_Target!$B$2:$M$4, MATCH(J764, Master_Target!$A$2:$A$4, 0), MATCH(TEXT(B764, "[$-421]mmmm"), Master_Target!$B$1:$M$1, 0))</f>
        <v>28500000</v>
      </c>
    </row>
    <row r="765" spans="1:13" x14ac:dyDescent="0.25">
      <c r="A765" s="7" t="s">
        <v>774</v>
      </c>
      <c r="B765" s="11" t="s">
        <v>1264</v>
      </c>
      <c r="C765" s="7">
        <f t="shared" si="44"/>
        <v>10</v>
      </c>
      <c r="D765" s="7" t="str">
        <f t="shared" si="45"/>
        <v>Oct</v>
      </c>
      <c r="E765" s="7" t="s">
        <v>1355</v>
      </c>
      <c r="F765" s="7" t="str">
        <f t="shared" si="46"/>
        <v>Bambang H.</v>
      </c>
      <c r="G765" s="7" t="s">
        <v>1358</v>
      </c>
      <c r="H765" s="7" t="s">
        <v>1363</v>
      </c>
      <c r="I765" s="7">
        <v>2</v>
      </c>
      <c r="J765" s="7" t="str">
        <f>INDEX(Master_Produk!$C$2:$C$11,MATCH(H765,Master_Produk!$A$2:$A$11,0))</f>
        <v>Pakaian</v>
      </c>
      <c r="K765" s="8">
        <f>INDEX(Master_Produk!$E$2:$E$11,MATCH(Data_Transaksi!H765,Master_Produk!$A$2:$A$11,0))</f>
        <v>250000</v>
      </c>
      <c r="L765" s="8">
        <f t="shared" si="47"/>
        <v>500000</v>
      </c>
      <c r="M765" s="8">
        <f>INDEX(Master_Target!$B$2:$M$4, MATCH(J765, Master_Target!$A$2:$A$4, 0), MATCH(TEXT(B765, "[$-421]mmmm"), Master_Target!$B$1:$M$1, 0))</f>
        <v>28500000</v>
      </c>
    </row>
    <row r="766" spans="1:13" x14ac:dyDescent="0.25">
      <c r="A766" s="7" t="s">
        <v>775</v>
      </c>
      <c r="B766" s="11" t="s">
        <v>1264</v>
      </c>
      <c r="C766" s="7">
        <f t="shared" si="44"/>
        <v>10</v>
      </c>
      <c r="D766" s="7" t="str">
        <f t="shared" si="45"/>
        <v>Oct</v>
      </c>
      <c r="E766" s="7" t="s">
        <v>1349</v>
      </c>
      <c r="F766" s="7" t="str">
        <f t="shared" si="46"/>
        <v>Dewi Lestari</v>
      </c>
      <c r="G766" s="7" t="s">
        <v>1357</v>
      </c>
      <c r="H766" s="7" t="s">
        <v>1369</v>
      </c>
      <c r="I766" s="7">
        <v>10</v>
      </c>
      <c r="J766" s="7" t="str">
        <f>INDEX(Master_Produk!$C$2:$C$11,MATCH(H766,Master_Produk!$A$2:$A$11,0))</f>
        <v>Elektronik</v>
      </c>
      <c r="K766" s="8">
        <f>INDEX(Master_Produk!$E$2:$E$11,MATCH(Data_Transaksi!H766,Master_Produk!$A$2:$A$11,0))</f>
        <v>4500000</v>
      </c>
      <c r="L766" s="8">
        <f t="shared" si="47"/>
        <v>45000000</v>
      </c>
      <c r="M766" s="8">
        <f>INDEX(Master_Target!$B$2:$M$4, MATCH(J766, Master_Target!$A$2:$A$4, 0), MATCH(TEXT(B766, "[$-421]mmmm"), Master_Target!$B$1:$M$1, 0))</f>
        <v>95000000</v>
      </c>
    </row>
    <row r="767" spans="1:13" x14ac:dyDescent="0.25">
      <c r="A767" s="7" t="s">
        <v>776</v>
      </c>
      <c r="B767" s="11" t="s">
        <v>1265</v>
      </c>
      <c r="C767" s="7">
        <f t="shared" si="44"/>
        <v>10</v>
      </c>
      <c r="D767" s="7" t="str">
        <f t="shared" si="45"/>
        <v>Oct</v>
      </c>
      <c r="E767" s="7" t="s">
        <v>1349</v>
      </c>
      <c r="F767" s="7" t="str">
        <f t="shared" si="46"/>
        <v>Dewi Lestari</v>
      </c>
      <c r="G767" s="7" t="s">
        <v>1361</v>
      </c>
      <c r="H767" s="7" t="s">
        <v>1370</v>
      </c>
      <c r="I767" s="7">
        <v>1</v>
      </c>
      <c r="J767" s="7" t="str">
        <f>INDEX(Master_Produk!$C$2:$C$11,MATCH(H767,Master_Produk!$A$2:$A$11,0))</f>
        <v>Furnitur</v>
      </c>
      <c r="K767" s="8">
        <f>INDEX(Master_Produk!$E$2:$E$11,MATCH(Data_Transaksi!H767,Master_Produk!$A$2:$A$11,0))</f>
        <v>1200000</v>
      </c>
      <c r="L767" s="8">
        <f t="shared" si="47"/>
        <v>1200000</v>
      </c>
      <c r="M767" s="8">
        <f>INDEX(Master_Target!$B$2:$M$4, MATCH(J767, Master_Target!$A$2:$A$4, 0), MATCH(TEXT(B767, "[$-421]mmmm"), Master_Target!$B$1:$M$1, 0))</f>
        <v>38000000</v>
      </c>
    </row>
    <row r="768" spans="1:13" x14ac:dyDescent="0.25">
      <c r="A768" s="7" t="s">
        <v>777</v>
      </c>
      <c r="B768" s="11" t="s">
        <v>1265</v>
      </c>
      <c r="C768" s="7">
        <f t="shared" si="44"/>
        <v>10</v>
      </c>
      <c r="D768" s="7" t="str">
        <f t="shared" si="45"/>
        <v>Oct</v>
      </c>
      <c r="E768" s="7" t="s">
        <v>1349</v>
      </c>
      <c r="F768" s="7" t="str">
        <f t="shared" si="46"/>
        <v>Dewi Lestari</v>
      </c>
      <c r="G768" s="7" t="s">
        <v>1358</v>
      </c>
      <c r="H768" s="7" t="s">
        <v>1369</v>
      </c>
      <c r="I768" s="7">
        <v>5</v>
      </c>
      <c r="J768" s="7" t="str">
        <f>INDEX(Master_Produk!$C$2:$C$11,MATCH(H768,Master_Produk!$A$2:$A$11,0))</f>
        <v>Elektronik</v>
      </c>
      <c r="K768" s="8">
        <f>INDEX(Master_Produk!$E$2:$E$11,MATCH(Data_Transaksi!H768,Master_Produk!$A$2:$A$11,0))</f>
        <v>4500000</v>
      </c>
      <c r="L768" s="8">
        <f t="shared" si="47"/>
        <v>22500000</v>
      </c>
      <c r="M768" s="8">
        <f>INDEX(Master_Target!$B$2:$M$4, MATCH(J768, Master_Target!$A$2:$A$4, 0), MATCH(TEXT(B768, "[$-421]mmmm"), Master_Target!$B$1:$M$1, 0))</f>
        <v>95000000</v>
      </c>
    </row>
    <row r="769" spans="1:13" x14ac:dyDescent="0.25">
      <c r="A769" s="7" t="s">
        <v>778</v>
      </c>
      <c r="B769" s="11" t="s">
        <v>1265</v>
      </c>
      <c r="C769" s="7">
        <f t="shared" si="44"/>
        <v>10</v>
      </c>
      <c r="D769" s="7" t="str">
        <f t="shared" si="45"/>
        <v>Oct</v>
      </c>
      <c r="E769" s="7" t="s">
        <v>1350</v>
      </c>
      <c r="F769" s="7" t="str">
        <f t="shared" si="46"/>
        <v>Andi Wijaya</v>
      </c>
      <c r="G769" s="7" t="s">
        <v>1358</v>
      </c>
      <c r="H769" s="7" t="s">
        <v>1370</v>
      </c>
      <c r="I769" s="7">
        <v>2</v>
      </c>
      <c r="J769" s="7" t="str">
        <f>INDEX(Master_Produk!$C$2:$C$11,MATCH(H769,Master_Produk!$A$2:$A$11,0))</f>
        <v>Furnitur</v>
      </c>
      <c r="K769" s="8">
        <f>INDEX(Master_Produk!$E$2:$E$11,MATCH(Data_Transaksi!H769,Master_Produk!$A$2:$A$11,0))</f>
        <v>1200000</v>
      </c>
      <c r="L769" s="8">
        <f t="shared" si="47"/>
        <v>2400000</v>
      </c>
      <c r="M769" s="8">
        <f>INDEX(Master_Target!$B$2:$M$4, MATCH(J769, Master_Target!$A$2:$A$4, 0), MATCH(TEXT(B769, "[$-421]mmmm"), Master_Target!$B$1:$M$1, 0))</f>
        <v>38000000</v>
      </c>
    </row>
    <row r="770" spans="1:13" x14ac:dyDescent="0.25">
      <c r="A770" s="7" t="s">
        <v>779</v>
      </c>
      <c r="B770" s="11" t="s">
        <v>1265</v>
      </c>
      <c r="C770" s="7">
        <f t="shared" si="44"/>
        <v>10</v>
      </c>
      <c r="D770" s="7" t="str">
        <f t="shared" si="45"/>
        <v>Oct</v>
      </c>
      <c r="E770" s="7" t="s">
        <v>1347</v>
      </c>
      <c r="F770" s="7" t="str">
        <f t="shared" si="46"/>
        <v>Rina Marlina</v>
      </c>
      <c r="G770" s="7" t="s">
        <v>1358</v>
      </c>
      <c r="H770" s="7" t="s">
        <v>1365</v>
      </c>
      <c r="I770" s="7">
        <v>4</v>
      </c>
      <c r="J770" s="7" t="str">
        <f>INDEX(Master_Produk!$C$2:$C$11,MATCH(H770,Master_Produk!$A$2:$A$11,0))</f>
        <v>Elektronik</v>
      </c>
      <c r="K770" s="8">
        <f>INDEX(Master_Produk!$E$2:$E$11,MATCH(Data_Transaksi!H770,Master_Produk!$A$2:$A$11,0))</f>
        <v>1800000</v>
      </c>
      <c r="L770" s="8">
        <f t="shared" si="47"/>
        <v>7200000</v>
      </c>
      <c r="M770" s="8">
        <f>INDEX(Master_Target!$B$2:$M$4, MATCH(J770, Master_Target!$A$2:$A$4, 0), MATCH(TEXT(B770, "[$-421]mmmm"), Master_Target!$B$1:$M$1, 0))</f>
        <v>95000000</v>
      </c>
    </row>
    <row r="771" spans="1:13" x14ac:dyDescent="0.25">
      <c r="A771" s="7" t="s">
        <v>780</v>
      </c>
      <c r="B771" s="11" t="s">
        <v>1265</v>
      </c>
      <c r="C771" s="7">
        <f t="shared" ref="C771:C834" si="48">MONTH(B771)</f>
        <v>10</v>
      </c>
      <c r="D771" s="7" t="str">
        <f t="shared" ref="D771:D834" si="49">TEXT(B771,"mmm")</f>
        <v>Oct</v>
      </c>
      <c r="E771" s="7" t="s">
        <v>1350</v>
      </c>
      <c r="F771" s="7" t="str">
        <f t="shared" ref="F771:F834" si="50">TRIM(PROPER(E771))</f>
        <v>Andi Wijaya</v>
      </c>
      <c r="G771" s="7" t="s">
        <v>1358</v>
      </c>
      <c r="H771" s="7" t="s">
        <v>1367</v>
      </c>
      <c r="I771" s="7">
        <v>3</v>
      </c>
      <c r="J771" s="7" t="str">
        <f>INDEX(Master_Produk!$C$2:$C$11,MATCH(H771,Master_Produk!$A$2:$A$11,0))</f>
        <v>Elektronik</v>
      </c>
      <c r="K771" s="8">
        <f>INDEX(Master_Produk!$E$2:$E$11,MATCH(Data_Transaksi!H771,Master_Produk!$A$2:$A$11,0))</f>
        <v>250000</v>
      </c>
      <c r="L771" s="8">
        <f t="shared" ref="L771:L834" si="51">I771*K771</f>
        <v>750000</v>
      </c>
      <c r="M771" s="8">
        <f>INDEX(Master_Target!$B$2:$M$4, MATCH(J771, Master_Target!$A$2:$A$4, 0), MATCH(TEXT(B771, "[$-421]mmmm"), Master_Target!$B$1:$M$1, 0))</f>
        <v>95000000</v>
      </c>
    </row>
    <row r="772" spans="1:13" x14ac:dyDescent="0.25">
      <c r="A772" s="7" t="s">
        <v>781</v>
      </c>
      <c r="B772" s="11" t="s">
        <v>1265</v>
      </c>
      <c r="C772" s="7">
        <f t="shared" si="48"/>
        <v>10</v>
      </c>
      <c r="D772" s="7" t="str">
        <f t="shared" si="49"/>
        <v>Oct</v>
      </c>
      <c r="E772" s="7" t="s">
        <v>1356</v>
      </c>
      <c r="F772" s="7" t="str">
        <f t="shared" si="50"/>
        <v>Eko Prasetyo</v>
      </c>
      <c r="G772" s="7" t="s">
        <v>1358</v>
      </c>
      <c r="H772" s="7" t="s">
        <v>1368</v>
      </c>
      <c r="I772" s="7">
        <v>2</v>
      </c>
      <c r="J772" s="7" t="str">
        <f>INDEX(Master_Produk!$C$2:$C$11,MATCH(H772,Master_Produk!$A$2:$A$11,0))</f>
        <v>Furnitur</v>
      </c>
      <c r="K772" s="8">
        <f>INDEX(Master_Produk!$E$2:$E$11,MATCH(Data_Transaksi!H772,Master_Produk!$A$2:$A$11,0))</f>
        <v>650000</v>
      </c>
      <c r="L772" s="8">
        <f t="shared" si="51"/>
        <v>1300000</v>
      </c>
      <c r="M772" s="8">
        <f>INDEX(Master_Target!$B$2:$M$4, MATCH(J772, Master_Target!$A$2:$A$4, 0), MATCH(TEXT(B772, "[$-421]mmmm"), Master_Target!$B$1:$M$1, 0))</f>
        <v>38000000</v>
      </c>
    </row>
    <row r="773" spans="1:13" x14ac:dyDescent="0.25">
      <c r="A773" s="7" t="s">
        <v>782</v>
      </c>
      <c r="B773" s="11" t="s">
        <v>1266</v>
      </c>
      <c r="C773" s="7">
        <f t="shared" si="48"/>
        <v>10</v>
      </c>
      <c r="D773" s="7" t="str">
        <f t="shared" si="49"/>
        <v>Oct</v>
      </c>
      <c r="E773" s="7" t="s">
        <v>1347</v>
      </c>
      <c r="F773" s="7" t="str">
        <f t="shared" si="50"/>
        <v>Rina Marlina</v>
      </c>
      <c r="G773" s="7" t="s">
        <v>1361</v>
      </c>
      <c r="H773" s="7" t="s">
        <v>1368</v>
      </c>
      <c r="I773" s="7">
        <v>3</v>
      </c>
      <c r="J773" s="7" t="str">
        <f>INDEX(Master_Produk!$C$2:$C$11,MATCH(H773,Master_Produk!$A$2:$A$11,0))</f>
        <v>Furnitur</v>
      </c>
      <c r="K773" s="8">
        <f>INDEX(Master_Produk!$E$2:$E$11,MATCH(Data_Transaksi!H773,Master_Produk!$A$2:$A$11,0))</f>
        <v>650000</v>
      </c>
      <c r="L773" s="8">
        <f t="shared" si="51"/>
        <v>1950000</v>
      </c>
      <c r="M773" s="8">
        <f>INDEX(Master_Target!$B$2:$M$4, MATCH(J773, Master_Target!$A$2:$A$4, 0), MATCH(TEXT(B773, "[$-421]mmmm"), Master_Target!$B$1:$M$1, 0))</f>
        <v>38000000</v>
      </c>
    </row>
    <row r="774" spans="1:13" x14ac:dyDescent="0.25">
      <c r="A774" s="7" t="s">
        <v>783</v>
      </c>
      <c r="B774" s="11" t="s">
        <v>1267</v>
      </c>
      <c r="C774" s="7">
        <f t="shared" si="48"/>
        <v>10</v>
      </c>
      <c r="D774" s="7" t="str">
        <f t="shared" si="49"/>
        <v>Oct</v>
      </c>
      <c r="E774" s="7" t="s">
        <v>1352</v>
      </c>
      <c r="F774" s="7" t="str">
        <f t="shared" si="50"/>
        <v>Ahmad Fauzi</v>
      </c>
      <c r="G774" s="7" t="s">
        <v>1359</v>
      </c>
      <c r="H774" s="7" t="s">
        <v>1368</v>
      </c>
      <c r="I774" s="7">
        <v>4</v>
      </c>
      <c r="J774" s="7" t="str">
        <f>INDEX(Master_Produk!$C$2:$C$11,MATCH(H774,Master_Produk!$A$2:$A$11,0))</f>
        <v>Furnitur</v>
      </c>
      <c r="K774" s="8">
        <f>INDEX(Master_Produk!$E$2:$E$11,MATCH(Data_Transaksi!H774,Master_Produk!$A$2:$A$11,0))</f>
        <v>650000</v>
      </c>
      <c r="L774" s="8">
        <f t="shared" si="51"/>
        <v>2600000</v>
      </c>
      <c r="M774" s="8">
        <f>INDEX(Master_Target!$B$2:$M$4, MATCH(J774, Master_Target!$A$2:$A$4, 0), MATCH(TEXT(B774, "[$-421]mmmm"), Master_Target!$B$1:$M$1, 0))</f>
        <v>38000000</v>
      </c>
    </row>
    <row r="775" spans="1:13" x14ac:dyDescent="0.25">
      <c r="A775" s="7" t="s">
        <v>784</v>
      </c>
      <c r="B775" s="11" t="s">
        <v>1267</v>
      </c>
      <c r="C775" s="7">
        <f t="shared" si="48"/>
        <v>10</v>
      </c>
      <c r="D775" s="7" t="str">
        <f t="shared" si="49"/>
        <v>Oct</v>
      </c>
      <c r="E775" s="7" t="s">
        <v>1351</v>
      </c>
      <c r="F775" s="7" t="str">
        <f t="shared" si="50"/>
        <v>Siti Rahma</v>
      </c>
      <c r="G775" s="7" t="s">
        <v>1359</v>
      </c>
      <c r="H775" s="7" t="s">
        <v>1365</v>
      </c>
      <c r="I775" s="7">
        <v>2</v>
      </c>
      <c r="J775" s="7" t="str">
        <f>INDEX(Master_Produk!$C$2:$C$11,MATCH(H775,Master_Produk!$A$2:$A$11,0))</f>
        <v>Elektronik</v>
      </c>
      <c r="K775" s="8">
        <f>INDEX(Master_Produk!$E$2:$E$11,MATCH(Data_Transaksi!H775,Master_Produk!$A$2:$A$11,0))</f>
        <v>1800000</v>
      </c>
      <c r="L775" s="8">
        <f t="shared" si="51"/>
        <v>3600000</v>
      </c>
      <c r="M775" s="8">
        <f>INDEX(Master_Target!$B$2:$M$4, MATCH(J775, Master_Target!$A$2:$A$4, 0), MATCH(TEXT(B775, "[$-421]mmmm"), Master_Target!$B$1:$M$1, 0))</f>
        <v>95000000</v>
      </c>
    </row>
    <row r="776" spans="1:13" x14ac:dyDescent="0.25">
      <c r="A776" s="7" t="s">
        <v>785</v>
      </c>
      <c r="B776" s="11" t="s">
        <v>1268</v>
      </c>
      <c r="C776" s="7">
        <f t="shared" si="48"/>
        <v>10</v>
      </c>
      <c r="D776" s="7" t="str">
        <f t="shared" si="49"/>
        <v>Oct</v>
      </c>
      <c r="E776" s="7" t="s">
        <v>1350</v>
      </c>
      <c r="F776" s="7" t="str">
        <f t="shared" si="50"/>
        <v>Andi Wijaya</v>
      </c>
      <c r="G776" s="7" t="s">
        <v>1361</v>
      </c>
      <c r="H776" s="7" t="s">
        <v>1369</v>
      </c>
      <c r="I776" s="7">
        <v>1</v>
      </c>
      <c r="J776" s="7" t="str">
        <f>INDEX(Master_Produk!$C$2:$C$11,MATCH(H776,Master_Produk!$A$2:$A$11,0))</f>
        <v>Elektronik</v>
      </c>
      <c r="K776" s="8">
        <f>INDEX(Master_Produk!$E$2:$E$11,MATCH(Data_Transaksi!H776,Master_Produk!$A$2:$A$11,0))</f>
        <v>4500000</v>
      </c>
      <c r="L776" s="8">
        <f t="shared" si="51"/>
        <v>4500000</v>
      </c>
      <c r="M776" s="8">
        <f>INDEX(Master_Target!$B$2:$M$4, MATCH(J776, Master_Target!$A$2:$A$4, 0), MATCH(TEXT(B776, "[$-421]mmmm"), Master_Target!$B$1:$M$1, 0))</f>
        <v>95000000</v>
      </c>
    </row>
    <row r="777" spans="1:13" x14ac:dyDescent="0.25">
      <c r="A777" s="7" t="s">
        <v>786</v>
      </c>
      <c r="B777" s="11" t="s">
        <v>1268</v>
      </c>
      <c r="C777" s="7">
        <f t="shared" si="48"/>
        <v>10</v>
      </c>
      <c r="D777" s="7" t="str">
        <f t="shared" si="49"/>
        <v>Oct</v>
      </c>
      <c r="E777" s="7" t="s">
        <v>1350</v>
      </c>
      <c r="F777" s="7" t="str">
        <f t="shared" si="50"/>
        <v>Andi Wijaya</v>
      </c>
      <c r="G777" s="7" t="s">
        <v>1359</v>
      </c>
      <c r="H777" s="7" t="s">
        <v>1366</v>
      </c>
      <c r="I777" s="7">
        <v>2</v>
      </c>
      <c r="J777" s="7" t="str">
        <f>INDEX(Master_Produk!$C$2:$C$11,MATCH(H777,Master_Produk!$A$2:$A$11,0))</f>
        <v>Elektronik</v>
      </c>
      <c r="K777" s="8">
        <f>INDEX(Master_Produk!$E$2:$E$11,MATCH(Data_Transaksi!H777,Master_Produk!$A$2:$A$11,0))</f>
        <v>7500000</v>
      </c>
      <c r="L777" s="8">
        <f t="shared" si="51"/>
        <v>15000000</v>
      </c>
      <c r="M777" s="8">
        <f>INDEX(Master_Target!$B$2:$M$4, MATCH(J777, Master_Target!$A$2:$A$4, 0), MATCH(TEXT(B777, "[$-421]mmmm"), Master_Target!$B$1:$M$1, 0))</f>
        <v>95000000</v>
      </c>
    </row>
    <row r="778" spans="1:13" x14ac:dyDescent="0.25">
      <c r="A778" s="7" t="s">
        <v>787</v>
      </c>
      <c r="B778" s="11" t="s">
        <v>1268</v>
      </c>
      <c r="C778" s="7">
        <f t="shared" si="48"/>
        <v>10</v>
      </c>
      <c r="D778" s="7" t="str">
        <f t="shared" si="49"/>
        <v>Oct</v>
      </c>
      <c r="E778" s="7" t="s">
        <v>1355</v>
      </c>
      <c r="F778" s="7" t="str">
        <f t="shared" si="50"/>
        <v>Bambang H.</v>
      </c>
      <c r="G778" s="7" t="s">
        <v>1357</v>
      </c>
      <c r="H778" s="7" t="s">
        <v>1369</v>
      </c>
      <c r="I778" s="7">
        <v>3</v>
      </c>
      <c r="J778" s="7" t="str">
        <f>INDEX(Master_Produk!$C$2:$C$11,MATCH(H778,Master_Produk!$A$2:$A$11,0))</f>
        <v>Elektronik</v>
      </c>
      <c r="K778" s="8">
        <f>INDEX(Master_Produk!$E$2:$E$11,MATCH(Data_Transaksi!H778,Master_Produk!$A$2:$A$11,0))</f>
        <v>4500000</v>
      </c>
      <c r="L778" s="8">
        <f t="shared" si="51"/>
        <v>13500000</v>
      </c>
      <c r="M778" s="8">
        <f>INDEX(Master_Target!$B$2:$M$4, MATCH(J778, Master_Target!$A$2:$A$4, 0), MATCH(TEXT(B778, "[$-421]mmmm"), Master_Target!$B$1:$M$1, 0))</f>
        <v>95000000</v>
      </c>
    </row>
    <row r="779" spans="1:13" x14ac:dyDescent="0.25">
      <c r="A779" s="7" t="s">
        <v>788</v>
      </c>
      <c r="B779" s="11" t="s">
        <v>1268</v>
      </c>
      <c r="C779" s="7">
        <f t="shared" si="48"/>
        <v>10</v>
      </c>
      <c r="D779" s="7" t="str">
        <f t="shared" si="49"/>
        <v>Oct</v>
      </c>
      <c r="E779" s="7" t="s">
        <v>1349</v>
      </c>
      <c r="F779" s="7" t="str">
        <f t="shared" si="50"/>
        <v>Dewi Lestari</v>
      </c>
      <c r="G779" s="7" t="s">
        <v>1357</v>
      </c>
      <c r="H779" s="7" t="s">
        <v>1371</v>
      </c>
      <c r="I779" s="7">
        <v>3</v>
      </c>
      <c r="J779" s="7" t="str">
        <f>INDEX(Master_Produk!$C$2:$C$11,MATCH(H779,Master_Produk!$A$2:$A$11,0))</f>
        <v>Pakaian</v>
      </c>
      <c r="K779" s="8">
        <f>INDEX(Master_Produk!$E$2:$E$11,MATCH(Data_Transaksi!H779,Master_Produk!$A$2:$A$11,0))</f>
        <v>280000</v>
      </c>
      <c r="L779" s="8">
        <f t="shared" si="51"/>
        <v>840000</v>
      </c>
      <c r="M779" s="8">
        <f>INDEX(Master_Target!$B$2:$M$4, MATCH(J779, Master_Target!$A$2:$A$4, 0), MATCH(TEXT(B779, "[$-421]mmmm"), Master_Target!$B$1:$M$1, 0))</f>
        <v>28500000</v>
      </c>
    </row>
    <row r="780" spans="1:13" x14ac:dyDescent="0.25">
      <c r="A780" s="7" t="s">
        <v>789</v>
      </c>
      <c r="B780" s="11" t="s">
        <v>1268</v>
      </c>
      <c r="C780" s="7">
        <f t="shared" si="48"/>
        <v>10</v>
      </c>
      <c r="D780" s="7" t="str">
        <f t="shared" si="49"/>
        <v>Oct</v>
      </c>
      <c r="E780" s="7" t="s">
        <v>1353</v>
      </c>
      <c r="F780" s="7" t="str">
        <f t="shared" si="50"/>
        <v>Sari Yuliana</v>
      </c>
      <c r="G780" s="7" t="s">
        <v>1361</v>
      </c>
      <c r="H780" s="7" t="s">
        <v>1368</v>
      </c>
      <c r="I780" s="7">
        <v>3</v>
      </c>
      <c r="J780" s="7" t="str">
        <f>INDEX(Master_Produk!$C$2:$C$11,MATCH(H780,Master_Produk!$A$2:$A$11,0))</f>
        <v>Furnitur</v>
      </c>
      <c r="K780" s="8">
        <f>INDEX(Master_Produk!$E$2:$E$11,MATCH(Data_Transaksi!H780,Master_Produk!$A$2:$A$11,0))</f>
        <v>650000</v>
      </c>
      <c r="L780" s="8">
        <f t="shared" si="51"/>
        <v>1950000</v>
      </c>
      <c r="M780" s="8">
        <f>INDEX(Master_Target!$B$2:$M$4, MATCH(J780, Master_Target!$A$2:$A$4, 0), MATCH(TEXT(B780, "[$-421]mmmm"), Master_Target!$B$1:$M$1, 0))</f>
        <v>38000000</v>
      </c>
    </row>
    <row r="781" spans="1:13" x14ac:dyDescent="0.25">
      <c r="A781" s="7" t="s">
        <v>790</v>
      </c>
      <c r="B781" s="11" t="s">
        <v>1269</v>
      </c>
      <c r="C781" s="7">
        <f t="shared" si="48"/>
        <v>10</v>
      </c>
      <c r="D781" s="7" t="str">
        <f t="shared" si="49"/>
        <v>Oct</v>
      </c>
      <c r="E781" s="7" t="s">
        <v>1352</v>
      </c>
      <c r="F781" s="7" t="str">
        <f t="shared" si="50"/>
        <v>Ahmad Fauzi</v>
      </c>
      <c r="G781" s="7" t="s">
        <v>1357</v>
      </c>
      <c r="H781" s="7" t="s">
        <v>1369</v>
      </c>
      <c r="I781" s="7">
        <v>2</v>
      </c>
      <c r="J781" s="7" t="str">
        <f>INDEX(Master_Produk!$C$2:$C$11,MATCH(H781,Master_Produk!$A$2:$A$11,0))</f>
        <v>Elektronik</v>
      </c>
      <c r="K781" s="8">
        <f>INDEX(Master_Produk!$E$2:$E$11,MATCH(Data_Transaksi!H781,Master_Produk!$A$2:$A$11,0))</f>
        <v>4500000</v>
      </c>
      <c r="L781" s="8">
        <f t="shared" si="51"/>
        <v>9000000</v>
      </c>
      <c r="M781" s="8">
        <f>INDEX(Master_Target!$B$2:$M$4, MATCH(J781, Master_Target!$A$2:$A$4, 0), MATCH(TEXT(B781, "[$-421]mmmm"), Master_Target!$B$1:$M$1, 0))</f>
        <v>95000000</v>
      </c>
    </row>
    <row r="782" spans="1:13" x14ac:dyDescent="0.25">
      <c r="A782" s="7" t="s">
        <v>791</v>
      </c>
      <c r="B782" s="11" t="s">
        <v>1269</v>
      </c>
      <c r="C782" s="7">
        <f t="shared" si="48"/>
        <v>10</v>
      </c>
      <c r="D782" s="7" t="str">
        <f t="shared" si="49"/>
        <v>Oct</v>
      </c>
      <c r="E782" s="7" t="s">
        <v>1353</v>
      </c>
      <c r="F782" s="7" t="str">
        <f t="shared" si="50"/>
        <v>Sari Yuliana</v>
      </c>
      <c r="G782" s="7" t="s">
        <v>1361</v>
      </c>
      <c r="H782" s="7" t="s">
        <v>1362</v>
      </c>
      <c r="I782" s="7">
        <v>3</v>
      </c>
      <c r="J782" s="7" t="str">
        <f>INDEX(Master_Produk!$C$2:$C$11,MATCH(H782,Master_Produk!$A$2:$A$11,0))</f>
        <v>Pakaian</v>
      </c>
      <c r="K782" s="8">
        <f>INDEX(Master_Produk!$E$2:$E$11,MATCH(Data_Transaksi!H782,Master_Produk!$A$2:$A$11,0))</f>
        <v>350000</v>
      </c>
      <c r="L782" s="8">
        <f t="shared" si="51"/>
        <v>1050000</v>
      </c>
      <c r="M782" s="8">
        <f>INDEX(Master_Target!$B$2:$M$4, MATCH(J782, Master_Target!$A$2:$A$4, 0), MATCH(TEXT(B782, "[$-421]mmmm"), Master_Target!$B$1:$M$1, 0))</f>
        <v>28500000</v>
      </c>
    </row>
    <row r="783" spans="1:13" x14ac:dyDescent="0.25">
      <c r="A783" s="7" t="s">
        <v>792</v>
      </c>
      <c r="B783" s="11" t="s">
        <v>1270</v>
      </c>
      <c r="C783" s="7">
        <f t="shared" si="48"/>
        <v>10</v>
      </c>
      <c r="D783" s="7" t="str">
        <f t="shared" si="49"/>
        <v>Oct</v>
      </c>
      <c r="E783" s="7" t="s">
        <v>1349</v>
      </c>
      <c r="F783" s="7" t="str">
        <f t="shared" si="50"/>
        <v>Dewi Lestari</v>
      </c>
      <c r="G783" s="7" t="s">
        <v>1357</v>
      </c>
      <c r="H783" s="7" t="s">
        <v>1362</v>
      </c>
      <c r="I783" s="7">
        <v>1</v>
      </c>
      <c r="J783" s="7" t="str">
        <f>INDEX(Master_Produk!$C$2:$C$11,MATCH(H783,Master_Produk!$A$2:$A$11,0))</f>
        <v>Pakaian</v>
      </c>
      <c r="K783" s="8">
        <f>INDEX(Master_Produk!$E$2:$E$11,MATCH(Data_Transaksi!H783,Master_Produk!$A$2:$A$11,0))</f>
        <v>350000</v>
      </c>
      <c r="L783" s="8">
        <f t="shared" si="51"/>
        <v>350000</v>
      </c>
      <c r="M783" s="8">
        <f>INDEX(Master_Target!$B$2:$M$4, MATCH(J783, Master_Target!$A$2:$A$4, 0), MATCH(TEXT(B783, "[$-421]mmmm"), Master_Target!$B$1:$M$1, 0))</f>
        <v>28500000</v>
      </c>
    </row>
    <row r="784" spans="1:13" x14ac:dyDescent="0.25">
      <c r="A784" s="7" t="s">
        <v>793</v>
      </c>
      <c r="B784" s="11" t="s">
        <v>1270</v>
      </c>
      <c r="C784" s="7">
        <f t="shared" si="48"/>
        <v>10</v>
      </c>
      <c r="D784" s="7" t="str">
        <f t="shared" si="49"/>
        <v>Oct</v>
      </c>
      <c r="E784" s="7" t="s">
        <v>1347</v>
      </c>
      <c r="F784" s="7" t="str">
        <f t="shared" si="50"/>
        <v>Rina Marlina</v>
      </c>
      <c r="G784" s="7" t="s">
        <v>1360</v>
      </c>
      <c r="H784" s="7" t="s">
        <v>1371</v>
      </c>
      <c r="I784" s="7">
        <v>2</v>
      </c>
      <c r="J784" s="7" t="str">
        <f>INDEX(Master_Produk!$C$2:$C$11,MATCH(H784,Master_Produk!$A$2:$A$11,0))</f>
        <v>Pakaian</v>
      </c>
      <c r="K784" s="8">
        <f>INDEX(Master_Produk!$E$2:$E$11,MATCH(Data_Transaksi!H784,Master_Produk!$A$2:$A$11,0))</f>
        <v>280000</v>
      </c>
      <c r="L784" s="8">
        <f t="shared" si="51"/>
        <v>560000</v>
      </c>
      <c r="M784" s="8">
        <f>INDEX(Master_Target!$B$2:$M$4, MATCH(J784, Master_Target!$A$2:$A$4, 0), MATCH(TEXT(B784, "[$-421]mmmm"), Master_Target!$B$1:$M$1, 0))</f>
        <v>28500000</v>
      </c>
    </row>
    <row r="785" spans="1:13" x14ac:dyDescent="0.25">
      <c r="A785" s="7" t="s">
        <v>794</v>
      </c>
      <c r="B785" s="11" t="s">
        <v>1270</v>
      </c>
      <c r="C785" s="7">
        <f t="shared" si="48"/>
        <v>10</v>
      </c>
      <c r="D785" s="7" t="str">
        <f t="shared" si="49"/>
        <v>Oct</v>
      </c>
      <c r="E785" s="7" t="s">
        <v>1350</v>
      </c>
      <c r="F785" s="7" t="str">
        <f t="shared" si="50"/>
        <v>Andi Wijaya</v>
      </c>
      <c r="G785" s="7" t="s">
        <v>1361</v>
      </c>
      <c r="H785" s="7" t="s">
        <v>1365</v>
      </c>
      <c r="I785" s="7">
        <v>1</v>
      </c>
      <c r="J785" s="7" t="str">
        <f>INDEX(Master_Produk!$C$2:$C$11,MATCH(H785,Master_Produk!$A$2:$A$11,0))</f>
        <v>Elektronik</v>
      </c>
      <c r="K785" s="8">
        <f>INDEX(Master_Produk!$E$2:$E$11,MATCH(Data_Transaksi!H785,Master_Produk!$A$2:$A$11,0))</f>
        <v>1800000</v>
      </c>
      <c r="L785" s="8">
        <f t="shared" si="51"/>
        <v>1800000</v>
      </c>
      <c r="M785" s="8">
        <f>INDEX(Master_Target!$B$2:$M$4, MATCH(J785, Master_Target!$A$2:$A$4, 0), MATCH(TEXT(B785, "[$-421]mmmm"), Master_Target!$B$1:$M$1, 0))</f>
        <v>95000000</v>
      </c>
    </row>
    <row r="786" spans="1:13" x14ac:dyDescent="0.25">
      <c r="A786" s="7" t="s">
        <v>795</v>
      </c>
      <c r="B786" s="11" t="s">
        <v>1271</v>
      </c>
      <c r="C786" s="7">
        <f t="shared" si="48"/>
        <v>10</v>
      </c>
      <c r="D786" s="7" t="str">
        <f t="shared" si="49"/>
        <v>Oct</v>
      </c>
      <c r="E786" s="7" t="s">
        <v>1349</v>
      </c>
      <c r="F786" s="7" t="str">
        <f t="shared" si="50"/>
        <v>Dewi Lestari</v>
      </c>
      <c r="G786" s="7" t="s">
        <v>1358</v>
      </c>
      <c r="H786" s="7" t="s">
        <v>1366</v>
      </c>
      <c r="I786" s="7">
        <v>1</v>
      </c>
      <c r="J786" s="7" t="str">
        <f>INDEX(Master_Produk!$C$2:$C$11,MATCH(H786,Master_Produk!$A$2:$A$11,0))</f>
        <v>Elektronik</v>
      </c>
      <c r="K786" s="8">
        <f>INDEX(Master_Produk!$E$2:$E$11,MATCH(Data_Transaksi!H786,Master_Produk!$A$2:$A$11,0))</f>
        <v>7500000</v>
      </c>
      <c r="L786" s="8">
        <f t="shared" si="51"/>
        <v>7500000</v>
      </c>
      <c r="M786" s="8">
        <f>INDEX(Master_Target!$B$2:$M$4, MATCH(J786, Master_Target!$A$2:$A$4, 0), MATCH(TEXT(B786, "[$-421]mmmm"), Master_Target!$B$1:$M$1, 0))</f>
        <v>95000000</v>
      </c>
    </row>
    <row r="787" spans="1:13" x14ac:dyDescent="0.25">
      <c r="A787" s="7" t="s">
        <v>796</v>
      </c>
      <c r="B787" s="11" t="s">
        <v>1271</v>
      </c>
      <c r="C787" s="7">
        <f t="shared" si="48"/>
        <v>10</v>
      </c>
      <c r="D787" s="7" t="str">
        <f t="shared" si="49"/>
        <v>Oct</v>
      </c>
      <c r="E787" s="7" t="s">
        <v>1350</v>
      </c>
      <c r="F787" s="7" t="str">
        <f t="shared" si="50"/>
        <v>Andi Wijaya</v>
      </c>
      <c r="G787" s="7" t="s">
        <v>1357</v>
      </c>
      <c r="H787" s="7" t="s">
        <v>1363</v>
      </c>
      <c r="I787" s="7">
        <v>1</v>
      </c>
      <c r="J787" s="7" t="str">
        <f>INDEX(Master_Produk!$C$2:$C$11,MATCH(H787,Master_Produk!$A$2:$A$11,0))</f>
        <v>Pakaian</v>
      </c>
      <c r="K787" s="8">
        <f>INDEX(Master_Produk!$E$2:$E$11,MATCH(Data_Transaksi!H787,Master_Produk!$A$2:$A$11,0))</f>
        <v>250000</v>
      </c>
      <c r="L787" s="8">
        <f t="shared" si="51"/>
        <v>250000</v>
      </c>
      <c r="M787" s="8">
        <f>INDEX(Master_Target!$B$2:$M$4, MATCH(J787, Master_Target!$A$2:$A$4, 0), MATCH(TEXT(B787, "[$-421]mmmm"), Master_Target!$B$1:$M$1, 0))</f>
        <v>28500000</v>
      </c>
    </row>
    <row r="788" spans="1:13" x14ac:dyDescent="0.25">
      <c r="A788" s="7" t="s">
        <v>797</v>
      </c>
      <c r="B788" s="11" t="s">
        <v>1271</v>
      </c>
      <c r="C788" s="7">
        <f t="shared" si="48"/>
        <v>10</v>
      </c>
      <c r="D788" s="7" t="str">
        <f t="shared" si="49"/>
        <v>Oct</v>
      </c>
      <c r="E788" s="7" t="s">
        <v>1356</v>
      </c>
      <c r="F788" s="7" t="str">
        <f t="shared" si="50"/>
        <v>Eko Prasetyo</v>
      </c>
      <c r="G788" s="7" t="s">
        <v>1360</v>
      </c>
      <c r="H788" s="7" t="s">
        <v>1365</v>
      </c>
      <c r="I788" s="7">
        <v>1</v>
      </c>
      <c r="J788" s="7" t="str">
        <f>INDEX(Master_Produk!$C$2:$C$11,MATCH(H788,Master_Produk!$A$2:$A$11,0))</f>
        <v>Elektronik</v>
      </c>
      <c r="K788" s="8">
        <f>INDEX(Master_Produk!$E$2:$E$11,MATCH(Data_Transaksi!H788,Master_Produk!$A$2:$A$11,0))</f>
        <v>1800000</v>
      </c>
      <c r="L788" s="8">
        <f t="shared" si="51"/>
        <v>1800000</v>
      </c>
      <c r="M788" s="8">
        <f>INDEX(Master_Target!$B$2:$M$4, MATCH(J788, Master_Target!$A$2:$A$4, 0), MATCH(TEXT(B788, "[$-421]mmmm"), Master_Target!$B$1:$M$1, 0))</f>
        <v>95000000</v>
      </c>
    </row>
    <row r="789" spans="1:13" x14ac:dyDescent="0.25">
      <c r="A789" s="7" t="s">
        <v>798</v>
      </c>
      <c r="B789" s="11" t="s">
        <v>1271</v>
      </c>
      <c r="C789" s="7">
        <f t="shared" si="48"/>
        <v>10</v>
      </c>
      <c r="D789" s="7" t="str">
        <f t="shared" si="49"/>
        <v>Oct</v>
      </c>
      <c r="E789" s="7" t="s">
        <v>1351</v>
      </c>
      <c r="F789" s="7" t="str">
        <f t="shared" si="50"/>
        <v>Siti Rahma</v>
      </c>
      <c r="G789" s="7" t="s">
        <v>1361</v>
      </c>
      <c r="H789" s="7" t="s">
        <v>1365</v>
      </c>
      <c r="I789" s="7">
        <v>2</v>
      </c>
      <c r="J789" s="7" t="str">
        <f>INDEX(Master_Produk!$C$2:$C$11,MATCH(H789,Master_Produk!$A$2:$A$11,0))</f>
        <v>Elektronik</v>
      </c>
      <c r="K789" s="8">
        <f>INDEX(Master_Produk!$E$2:$E$11,MATCH(Data_Transaksi!H789,Master_Produk!$A$2:$A$11,0))</f>
        <v>1800000</v>
      </c>
      <c r="L789" s="8">
        <f t="shared" si="51"/>
        <v>3600000</v>
      </c>
      <c r="M789" s="8">
        <f>INDEX(Master_Target!$B$2:$M$4, MATCH(J789, Master_Target!$A$2:$A$4, 0), MATCH(TEXT(B789, "[$-421]mmmm"), Master_Target!$B$1:$M$1, 0))</f>
        <v>95000000</v>
      </c>
    </row>
    <row r="790" spans="1:13" x14ac:dyDescent="0.25">
      <c r="A790" s="7" t="s">
        <v>799</v>
      </c>
      <c r="B790" s="11" t="s">
        <v>1271</v>
      </c>
      <c r="C790" s="7">
        <f t="shared" si="48"/>
        <v>10</v>
      </c>
      <c r="D790" s="7" t="str">
        <f t="shared" si="49"/>
        <v>Oct</v>
      </c>
      <c r="E790" s="7" t="s">
        <v>1349</v>
      </c>
      <c r="F790" s="7" t="str">
        <f t="shared" si="50"/>
        <v>Dewi Lestari</v>
      </c>
      <c r="G790" s="7" t="s">
        <v>1357</v>
      </c>
      <c r="H790" s="7" t="s">
        <v>1369</v>
      </c>
      <c r="I790" s="7">
        <v>1</v>
      </c>
      <c r="J790" s="7" t="str">
        <f>INDEX(Master_Produk!$C$2:$C$11,MATCH(H790,Master_Produk!$A$2:$A$11,0))</f>
        <v>Elektronik</v>
      </c>
      <c r="K790" s="8">
        <f>INDEX(Master_Produk!$E$2:$E$11,MATCH(Data_Transaksi!H790,Master_Produk!$A$2:$A$11,0))</f>
        <v>4500000</v>
      </c>
      <c r="L790" s="8">
        <f t="shared" si="51"/>
        <v>4500000</v>
      </c>
      <c r="M790" s="8">
        <f>INDEX(Master_Target!$B$2:$M$4, MATCH(J790, Master_Target!$A$2:$A$4, 0), MATCH(TEXT(B790, "[$-421]mmmm"), Master_Target!$B$1:$M$1, 0))</f>
        <v>95000000</v>
      </c>
    </row>
    <row r="791" spans="1:13" x14ac:dyDescent="0.25">
      <c r="A791" s="7" t="s">
        <v>800</v>
      </c>
      <c r="B791" s="11" t="s">
        <v>1272</v>
      </c>
      <c r="C791" s="7">
        <f t="shared" si="48"/>
        <v>10</v>
      </c>
      <c r="D791" s="7" t="str">
        <f t="shared" si="49"/>
        <v>Oct</v>
      </c>
      <c r="E791" s="7" t="s">
        <v>1348</v>
      </c>
      <c r="F791" s="7" t="str">
        <f t="shared" si="50"/>
        <v>Budi Santoso</v>
      </c>
      <c r="G791" s="7" t="s">
        <v>1358</v>
      </c>
      <c r="H791" s="7" t="s">
        <v>1368</v>
      </c>
      <c r="I791" s="7">
        <v>2</v>
      </c>
      <c r="J791" s="7" t="str">
        <f>INDEX(Master_Produk!$C$2:$C$11,MATCH(H791,Master_Produk!$A$2:$A$11,0))</f>
        <v>Furnitur</v>
      </c>
      <c r="K791" s="8">
        <f>INDEX(Master_Produk!$E$2:$E$11,MATCH(Data_Transaksi!H791,Master_Produk!$A$2:$A$11,0))</f>
        <v>650000</v>
      </c>
      <c r="L791" s="8">
        <f t="shared" si="51"/>
        <v>1300000</v>
      </c>
      <c r="M791" s="8">
        <f>INDEX(Master_Target!$B$2:$M$4, MATCH(J791, Master_Target!$A$2:$A$4, 0), MATCH(TEXT(B791, "[$-421]mmmm"), Master_Target!$B$1:$M$1, 0))</f>
        <v>38000000</v>
      </c>
    </row>
    <row r="792" spans="1:13" x14ac:dyDescent="0.25">
      <c r="A792" s="7" t="s">
        <v>801</v>
      </c>
      <c r="B792" s="11" t="s">
        <v>1272</v>
      </c>
      <c r="C792" s="7">
        <f t="shared" si="48"/>
        <v>10</v>
      </c>
      <c r="D792" s="7" t="str">
        <f t="shared" si="49"/>
        <v>Oct</v>
      </c>
      <c r="E792" s="7" t="s">
        <v>1352</v>
      </c>
      <c r="F792" s="7" t="str">
        <f t="shared" si="50"/>
        <v>Ahmad Fauzi</v>
      </c>
      <c r="G792" s="7" t="s">
        <v>1357</v>
      </c>
      <c r="H792" s="7" t="s">
        <v>1364</v>
      </c>
      <c r="I792" s="7">
        <v>1</v>
      </c>
      <c r="J792" s="7" t="str">
        <f>INDEX(Master_Produk!$C$2:$C$11,MATCH(H792,Master_Produk!$A$2:$A$11,0))</f>
        <v>Furnitur</v>
      </c>
      <c r="K792" s="8">
        <f>INDEX(Master_Produk!$E$2:$E$11,MATCH(Data_Transaksi!H792,Master_Produk!$A$2:$A$11,0))</f>
        <v>950000</v>
      </c>
      <c r="L792" s="8">
        <f t="shared" si="51"/>
        <v>950000</v>
      </c>
      <c r="M792" s="8">
        <f>INDEX(Master_Target!$B$2:$M$4, MATCH(J792, Master_Target!$A$2:$A$4, 0), MATCH(TEXT(B792, "[$-421]mmmm"), Master_Target!$B$1:$M$1, 0))</f>
        <v>38000000</v>
      </c>
    </row>
    <row r="793" spans="1:13" x14ac:dyDescent="0.25">
      <c r="A793" s="7" t="s">
        <v>802</v>
      </c>
      <c r="B793" s="11" t="s">
        <v>1272</v>
      </c>
      <c r="C793" s="7">
        <f t="shared" si="48"/>
        <v>10</v>
      </c>
      <c r="D793" s="7" t="str">
        <f t="shared" si="49"/>
        <v>Oct</v>
      </c>
      <c r="E793" s="7" t="s">
        <v>1351</v>
      </c>
      <c r="F793" s="7" t="str">
        <f t="shared" si="50"/>
        <v>Siti Rahma</v>
      </c>
      <c r="G793" s="7" t="s">
        <v>1360</v>
      </c>
      <c r="H793" s="7" t="s">
        <v>1362</v>
      </c>
      <c r="I793" s="7">
        <v>1</v>
      </c>
      <c r="J793" s="7" t="str">
        <f>INDEX(Master_Produk!$C$2:$C$11,MATCH(H793,Master_Produk!$A$2:$A$11,0))</f>
        <v>Pakaian</v>
      </c>
      <c r="K793" s="8">
        <f>INDEX(Master_Produk!$E$2:$E$11,MATCH(Data_Transaksi!H793,Master_Produk!$A$2:$A$11,0))</f>
        <v>350000</v>
      </c>
      <c r="L793" s="8">
        <f t="shared" si="51"/>
        <v>350000</v>
      </c>
      <c r="M793" s="8">
        <f>INDEX(Master_Target!$B$2:$M$4, MATCH(J793, Master_Target!$A$2:$A$4, 0), MATCH(TEXT(B793, "[$-421]mmmm"), Master_Target!$B$1:$M$1, 0))</f>
        <v>28500000</v>
      </c>
    </row>
    <row r="794" spans="1:13" x14ac:dyDescent="0.25">
      <c r="A794" s="7" t="s">
        <v>803</v>
      </c>
      <c r="B794" s="11" t="s">
        <v>1272</v>
      </c>
      <c r="C794" s="7">
        <f t="shared" si="48"/>
        <v>10</v>
      </c>
      <c r="D794" s="7" t="str">
        <f t="shared" si="49"/>
        <v>Oct</v>
      </c>
      <c r="E794" s="7" t="s">
        <v>1349</v>
      </c>
      <c r="F794" s="7" t="str">
        <f t="shared" si="50"/>
        <v>Dewi Lestari</v>
      </c>
      <c r="G794" s="7" t="s">
        <v>1359</v>
      </c>
      <c r="H794" s="7" t="s">
        <v>1368</v>
      </c>
      <c r="I794" s="7">
        <v>1</v>
      </c>
      <c r="J794" s="7" t="str">
        <f>INDEX(Master_Produk!$C$2:$C$11,MATCH(H794,Master_Produk!$A$2:$A$11,0))</f>
        <v>Furnitur</v>
      </c>
      <c r="K794" s="8">
        <f>INDEX(Master_Produk!$E$2:$E$11,MATCH(Data_Transaksi!H794,Master_Produk!$A$2:$A$11,0))</f>
        <v>650000</v>
      </c>
      <c r="L794" s="8">
        <f t="shared" si="51"/>
        <v>650000</v>
      </c>
      <c r="M794" s="8">
        <f>INDEX(Master_Target!$B$2:$M$4, MATCH(J794, Master_Target!$A$2:$A$4, 0), MATCH(TEXT(B794, "[$-421]mmmm"), Master_Target!$B$1:$M$1, 0))</f>
        <v>38000000</v>
      </c>
    </row>
    <row r="795" spans="1:13" x14ac:dyDescent="0.25">
      <c r="A795" s="7" t="s">
        <v>804</v>
      </c>
      <c r="B795" s="11" t="s">
        <v>1273</v>
      </c>
      <c r="C795" s="7">
        <f t="shared" si="48"/>
        <v>10</v>
      </c>
      <c r="D795" s="7" t="str">
        <f t="shared" si="49"/>
        <v>Oct</v>
      </c>
      <c r="E795" s="7" t="s">
        <v>1348</v>
      </c>
      <c r="F795" s="7" t="str">
        <f t="shared" si="50"/>
        <v>Budi Santoso</v>
      </c>
      <c r="G795" s="7" t="s">
        <v>1359</v>
      </c>
      <c r="H795" s="7" t="s">
        <v>1370</v>
      </c>
      <c r="I795" s="7">
        <v>1</v>
      </c>
      <c r="J795" s="7" t="str">
        <f>INDEX(Master_Produk!$C$2:$C$11,MATCH(H795,Master_Produk!$A$2:$A$11,0))</f>
        <v>Furnitur</v>
      </c>
      <c r="K795" s="8">
        <f>INDEX(Master_Produk!$E$2:$E$11,MATCH(Data_Transaksi!H795,Master_Produk!$A$2:$A$11,0))</f>
        <v>1200000</v>
      </c>
      <c r="L795" s="8">
        <f t="shared" si="51"/>
        <v>1200000</v>
      </c>
      <c r="M795" s="8">
        <f>INDEX(Master_Target!$B$2:$M$4, MATCH(J795, Master_Target!$A$2:$A$4, 0), MATCH(TEXT(B795, "[$-421]mmmm"), Master_Target!$B$1:$M$1, 0))</f>
        <v>38000000</v>
      </c>
    </row>
    <row r="796" spans="1:13" x14ac:dyDescent="0.25">
      <c r="A796" s="7" t="s">
        <v>805</v>
      </c>
      <c r="B796" s="11" t="s">
        <v>1273</v>
      </c>
      <c r="C796" s="7">
        <f t="shared" si="48"/>
        <v>10</v>
      </c>
      <c r="D796" s="7" t="str">
        <f t="shared" si="49"/>
        <v>Oct</v>
      </c>
      <c r="E796" s="7" t="s">
        <v>1348</v>
      </c>
      <c r="F796" s="7" t="str">
        <f t="shared" si="50"/>
        <v>Budi Santoso</v>
      </c>
      <c r="G796" s="7" t="s">
        <v>1360</v>
      </c>
      <c r="H796" s="7" t="s">
        <v>1365</v>
      </c>
      <c r="I796" s="7">
        <v>2</v>
      </c>
      <c r="J796" s="7" t="str">
        <f>INDEX(Master_Produk!$C$2:$C$11,MATCH(H796,Master_Produk!$A$2:$A$11,0))</f>
        <v>Elektronik</v>
      </c>
      <c r="K796" s="8">
        <f>INDEX(Master_Produk!$E$2:$E$11,MATCH(Data_Transaksi!H796,Master_Produk!$A$2:$A$11,0))</f>
        <v>1800000</v>
      </c>
      <c r="L796" s="8">
        <f t="shared" si="51"/>
        <v>3600000</v>
      </c>
      <c r="M796" s="8">
        <f>INDEX(Master_Target!$B$2:$M$4, MATCH(J796, Master_Target!$A$2:$A$4, 0), MATCH(TEXT(B796, "[$-421]mmmm"), Master_Target!$B$1:$M$1, 0))</f>
        <v>95000000</v>
      </c>
    </row>
    <row r="797" spans="1:13" x14ac:dyDescent="0.25">
      <c r="A797" s="7" t="s">
        <v>806</v>
      </c>
      <c r="B797" s="11" t="s">
        <v>1273</v>
      </c>
      <c r="C797" s="7">
        <f t="shared" si="48"/>
        <v>10</v>
      </c>
      <c r="D797" s="7" t="str">
        <f t="shared" si="49"/>
        <v>Oct</v>
      </c>
      <c r="E797" s="7" t="s">
        <v>1352</v>
      </c>
      <c r="F797" s="7" t="str">
        <f t="shared" si="50"/>
        <v>Ahmad Fauzi</v>
      </c>
      <c r="G797" s="7" t="s">
        <v>1360</v>
      </c>
      <c r="H797" s="7" t="s">
        <v>1370</v>
      </c>
      <c r="I797" s="7">
        <v>2</v>
      </c>
      <c r="J797" s="7" t="str">
        <f>INDEX(Master_Produk!$C$2:$C$11,MATCH(H797,Master_Produk!$A$2:$A$11,0))</f>
        <v>Furnitur</v>
      </c>
      <c r="K797" s="8">
        <f>INDEX(Master_Produk!$E$2:$E$11,MATCH(Data_Transaksi!H797,Master_Produk!$A$2:$A$11,0))</f>
        <v>1200000</v>
      </c>
      <c r="L797" s="8">
        <f t="shared" si="51"/>
        <v>2400000</v>
      </c>
      <c r="M797" s="8">
        <f>INDEX(Master_Target!$B$2:$M$4, MATCH(J797, Master_Target!$A$2:$A$4, 0), MATCH(TEXT(B797, "[$-421]mmmm"), Master_Target!$B$1:$M$1, 0))</f>
        <v>38000000</v>
      </c>
    </row>
    <row r="798" spans="1:13" x14ac:dyDescent="0.25">
      <c r="A798" s="7" t="s">
        <v>807</v>
      </c>
      <c r="B798" s="11" t="s">
        <v>1274</v>
      </c>
      <c r="C798" s="7">
        <f t="shared" si="48"/>
        <v>10</v>
      </c>
      <c r="D798" s="7" t="str">
        <f t="shared" si="49"/>
        <v>Oct</v>
      </c>
      <c r="E798" s="7" t="s">
        <v>1349</v>
      </c>
      <c r="F798" s="7" t="str">
        <f t="shared" si="50"/>
        <v>Dewi Lestari</v>
      </c>
      <c r="G798" s="7" t="s">
        <v>1361</v>
      </c>
      <c r="H798" s="7" t="s">
        <v>1370</v>
      </c>
      <c r="I798" s="7">
        <v>2</v>
      </c>
      <c r="J798" s="7" t="str">
        <f>INDEX(Master_Produk!$C$2:$C$11,MATCH(H798,Master_Produk!$A$2:$A$11,0))</f>
        <v>Furnitur</v>
      </c>
      <c r="K798" s="8">
        <f>INDEX(Master_Produk!$E$2:$E$11,MATCH(Data_Transaksi!H798,Master_Produk!$A$2:$A$11,0))</f>
        <v>1200000</v>
      </c>
      <c r="L798" s="8">
        <f t="shared" si="51"/>
        <v>2400000</v>
      </c>
      <c r="M798" s="8">
        <f>INDEX(Master_Target!$B$2:$M$4, MATCH(J798, Master_Target!$A$2:$A$4, 0), MATCH(TEXT(B798, "[$-421]mmmm"), Master_Target!$B$1:$M$1, 0))</f>
        <v>38000000</v>
      </c>
    </row>
    <row r="799" spans="1:13" x14ac:dyDescent="0.25">
      <c r="A799" s="7" t="s">
        <v>808</v>
      </c>
      <c r="B799" s="11" t="s">
        <v>1274</v>
      </c>
      <c r="C799" s="7">
        <f t="shared" si="48"/>
        <v>10</v>
      </c>
      <c r="D799" s="7" t="str">
        <f t="shared" si="49"/>
        <v>Oct</v>
      </c>
      <c r="E799" s="7" t="s">
        <v>1351</v>
      </c>
      <c r="F799" s="7" t="str">
        <f t="shared" si="50"/>
        <v>Siti Rahma</v>
      </c>
      <c r="G799" s="7" t="s">
        <v>1359</v>
      </c>
      <c r="H799" s="7" t="s">
        <v>1363</v>
      </c>
      <c r="I799" s="7">
        <v>2</v>
      </c>
      <c r="J799" s="7" t="str">
        <f>INDEX(Master_Produk!$C$2:$C$11,MATCH(H799,Master_Produk!$A$2:$A$11,0))</f>
        <v>Pakaian</v>
      </c>
      <c r="K799" s="8">
        <f>INDEX(Master_Produk!$E$2:$E$11,MATCH(Data_Transaksi!H799,Master_Produk!$A$2:$A$11,0))</f>
        <v>250000</v>
      </c>
      <c r="L799" s="8">
        <f t="shared" si="51"/>
        <v>500000</v>
      </c>
      <c r="M799" s="8">
        <f>INDEX(Master_Target!$B$2:$M$4, MATCH(J799, Master_Target!$A$2:$A$4, 0), MATCH(TEXT(B799, "[$-421]mmmm"), Master_Target!$B$1:$M$1, 0))</f>
        <v>28500000</v>
      </c>
    </row>
    <row r="800" spans="1:13" x14ac:dyDescent="0.25">
      <c r="A800" s="7" t="s">
        <v>809</v>
      </c>
      <c r="B800" s="11" t="s">
        <v>1274</v>
      </c>
      <c r="C800" s="7">
        <f t="shared" si="48"/>
        <v>10</v>
      </c>
      <c r="D800" s="7" t="str">
        <f t="shared" si="49"/>
        <v>Oct</v>
      </c>
      <c r="E800" s="7" t="s">
        <v>1355</v>
      </c>
      <c r="F800" s="7" t="str">
        <f t="shared" si="50"/>
        <v>Bambang H.</v>
      </c>
      <c r="G800" s="7" t="s">
        <v>1361</v>
      </c>
      <c r="H800" s="7" t="s">
        <v>1363</v>
      </c>
      <c r="I800" s="7">
        <v>1</v>
      </c>
      <c r="J800" s="7" t="str">
        <f>INDEX(Master_Produk!$C$2:$C$11,MATCH(H800,Master_Produk!$A$2:$A$11,0))</f>
        <v>Pakaian</v>
      </c>
      <c r="K800" s="8">
        <f>INDEX(Master_Produk!$E$2:$E$11,MATCH(Data_Transaksi!H800,Master_Produk!$A$2:$A$11,0))</f>
        <v>250000</v>
      </c>
      <c r="L800" s="8">
        <f t="shared" si="51"/>
        <v>250000</v>
      </c>
      <c r="M800" s="8">
        <f>INDEX(Master_Target!$B$2:$M$4, MATCH(J800, Master_Target!$A$2:$A$4, 0), MATCH(TEXT(B800, "[$-421]mmmm"), Master_Target!$B$1:$M$1, 0))</f>
        <v>28500000</v>
      </c>
    </row>
    <row r="801" spans="1:13" x14ac:dyDescent="0.25">
      <c r="A801" s="7" t="s">
        <v>810</v>
      </c>
      <c r="B801" s="11" t="s">
        <v>1274</v>
      </c>
      <c r="C801" s="7">
        <f t="shared" si="48"/>
        <v>10</v>
      </c>
      <c r="D801" s="7" t="str">
        <f t="shared" si="49"/>
        <v>Oct</v>
      </c>
      <c r="E801" s="7" t="s">
        <v>1347</v>
      </c>
      <c r="F801" s="7" t="str">
        <f t="shared" si="50"/>
        <v>Rina Marlina</v>
      </c>
      <c r="G801" s="7" t="s">
        <v>1357</v>
      </c>
      <c r="H801" s="7" t="s">
        <v>1363</v>
      </c>
      <c r="I801" s="7">
        <v>4</v>
      </c>
      <c r="J801" s="7" t="str">
        <f>INDEX(Master_Produk!$C$2:$C$11,MATCH(H801,Master_Produk!$A$2:$A$11,0))</f>
        <v>Pakaian</v>
      </c>
      <c r="K801" s="8">
        <f>INDEX(Master_Produk!$E$2:$E$11,MATCH(Data_Transaksi!H801,Master_Produk!$A$2:$A$11,0))</f>
        <v>250000</v>
      </c>
      <c r="L801" s="8">
        <f t="shared" si="51"/>
        <v>1000000</v>
      </c>
      <c r="M801" s="8">
        <f>INDEX(Master_Target!$B$2:$M$4, MATCH(J801, Master_Target!$A$2:$A$4, 0), MATCH(TEXT(B801, "[$-421]mmmm"), Master_Target!$B$1:$M$1, 0))</f>
        <v>28500000</v>
      </c>
    </row>
    <row r="802" spans="1:13" x14ac:dyDescent="0.25">
      <c r="A802" s="7" t="s">
        <v>811</v>
      </c>
      <c r="B802" s="11" t="s">
        <v>1274</v>
      </c>
      <c r="C802" s="7">
        <f t="shared" si="48"/>
        <v>10</v>
      </c>
      <c r="D802" s="7" t="str">
        <f t="shared" si="49"/>
        <v>Oct</v>
      </c>
      <c r="E802" s="7" t="s">
        <v>1348</v>
      </c>
      <c r="F802" s="7" t="str">
        <f t="shared" si="50"/>
        <v>Budi Santoso</v>
      </c>
      <c r="G802" s="7" t="s">
        <v>1360</v>
      </c>
      <c r="H802" s="7" t="s">
        <v>1367</v>
      </c>
      <c r="I802" s="7">
        <v>2</v>
      </c>
      <c r="J802" s="7" t="str">
        <f>INDEX(Master_Produk!$C$2:$C$11,MATCH(H802,Master_Produk!$A$2:$A$11,0))</f>
        <v>Elektronik</v>
      </c>
      <c r="K802" s="8">
        <f>INDEX(Master_Produk!$E$2:$E$11,MATCH(Data_Transaksi!H802,Master_Produk!$A$2:$A$11,0))</f>
        <v>250000</v>
      </c>
      <c r="L802" s="8">
        <f t="shared" si="51"/>
        <v>500000</v>
      </c>
      <c r="M802" s="8">
        <f>INDEX(Master_Target!$B$2:$M$4, MATCH(J802, Master_Target!$A$2:$A$4, 0), MATCH(TEXT(B802, "[$-421]mmmm"), Master_Target!$B$1:$M$1, 0))</f>
        <v>95000000</v>
      </c>
    </row>
    <row r="803" spans="1:13" x14ac:dyDescent="0.25">
      <c r="A803" s="7" t="s">
        <v>812</v>
      </c>
      <c r="B803" s="11" t="s">
        <v>1275</v>
      </c>
      <c r="C803" s="7">
        <f t="shared" si="48"/>
        <v>10</v>
      </c>
      <c r="D803" s="7" t="str">
        <f t="shared" si="49"/>
        <v>Oct</v>
      </c>
      <c r="E803" s="7" t="s">
        <v>1353</v>
      </c>
      <c r="F803" s="7" t="str">
        <f t="shared" si="50"/>
        <v>Sari Yuliana</v>
      </c>
      <c r="G803" s="7" t="s">
        <v>1361</v>
      </c>
      <c r="H803" s="7" t="s">
        <v>1370</v>
      </c>
      <c r="I803" s="7">
        <v>2</v>
      </c>
      <c r="J803" s="7" t="str">
        <f>INDEX(Master_Produk!$C$2:$C$11,MATCH(H803,Master_Produk!$A$2:$A$11,0))</f>
        <v>Furnitur</v>
      </c>
      <c r="K803" s="8">
        <f>INDEX(Master_Produk!$E$2:$E$11,MATCH(Data_Transaksi!H803,Master_Produk!$A$2:$A$11,0))</f>
        <v>1200000</v>
      </c>
      <c r="L803" s="8">
        <f t="shared" si="51"/>
        <v>2400000</v>
      </c>
      <c r="M803" s="8">
        <f>INDEX(Master_Target!$B$2:$M$4, MATCH(J803, Master_Target!$A$2:$A$4, 0), MATCH(TEXT(B803, "[$-421]mmmm"), Master_Target!$B$1:$M$1, 0))</f>
        <v>38000000</v>
      </c>
    </row>
    <row r="804" spans="1:13" x14ac:dyDescent="0.25">
      <c r="A804" s="7" t="s">
        <v>813</v>
      </c>
      <c r="B804" s="11" t="s">
        <v>1275</v>
      </c>
      <c r="C804" s="7">
        <f t="shared" si="48"/>
        <v>10</v>
      </c>
      <c r="D804" s="7" t="str">
        <f t="shared" si="49"/>
        <v>Oct</v>
      </c>
      <c r="E804" s="7" t="s">
        <v>1349</v>
      </c>
      <c r="F804" s="7" t="str">
        <f t="shared" si="50"/>
        <v>Dewi Lestari</v>
      </c>
      <c r="G804" s="7" t="s">
        <v>1360</v>
      </c>
      <c r="H804" s="7" t="s">
        <v>1369</v>
      </c>
      <c r="I804" s="7">
        <v>1</v>
      </c>
      <c r="J804" s="7" t="str">
        <f>INDEX(Master_Produk!$C$2:$C$11,MATCH(H804,Master_Produk!$A$2:$A$11,0))</f>
        <v>Elektronik</v>
      </c>
      <c r="K804" s="8">
        <f>INDEX(Master_Produk!$E$2:$E$11,MATCH(Data_Transaksi!H804,Master_Produk!$A$2:$A$11,0))</f>
        <v>4500000</v>
      </c>
      <c r="L804" s="8">
        <f t="shared" si="51"/>
        <v>4500000</v>
      </c>
      <c r="M804" s="8">
        <f>INDEX(Master_Target!$B$2:$M$4, MATCH(J804, Master_Target!$A$2:$A$4, 0), MATCH(TEXT(B804, "[$-421]mmmm"), Master_Target!$B$1:$M$1, 0))</f>
        <v>95000000</v>
      </c>
    </row>
    <row r="805" spans="1:13" x14ac:dyDescent="0.25">
      <c r="A805" s="7" t="s">
        <v>814</v>
      </c>
      <c r="B805" s="11" t="s">
        <v>1275</v>
      </c>
      <c r="C805" s="7">
        <f t="shared" si="48"/>
        <v>10</v>
      </c>
      <c r="D805" s="7" t="str">
        <f t="shared" si="49"/>
        <v>Oct</v>
      </c>
      <c r="E805" s="7" t="s">
        <v>1355</v>
      </c>
      <c r="F805" s="7" t="str">
        <f t="shared" si="50"/>
        <v>Bambang H.</v>
      </c>
      <c r="G805" s="7" t="s">
        <v>1361</v>
      </c>
      <c r="H805" s="7" t="s">
        <v>1370</v>
      </c>
      <c r="I805" s="7">
        <v>1</v>
      </c>
      <c r="J805" s="7" t="str">
        <f>INDEX(Master_Produk!$C$2:$C$11,MATCH(H805,Master_Produk!$A$2:$A$11,0))</f>
        <v>Furnitur</v>
      </c>
      <c r="K805" s="8">
        <f>INDEX(Master_Produk!$E$2:$E$11,MATCH(Data_Transaksi!H805,Master_Produk!$A$2:$A$11,0))</f>
        <v>1200000</v>
      </c>
      <c r="L805" s="8">
        <f t="shared" si="51"/>
        <v>1200000</v>
      </c>
      <c r="M805" s="8">
        <f>INDEX(Master_Target!$B$2:$M$4, MATCH(J805, Master_Target!$A$2:$A$4, 0), MATCH(TEXT(B805, "[$-421]mmmm"), Master_Target!$B$1:$M$1, 0))</f>
        <v>38000000</v>
      </c>
    </row>
    <row r="806" spans="1:13" x14ac:dyDescent="0.25">
      <c r="A806" s="7" t="s">
        <v>815</v>
      </c>
      <c r="B806" s="11" t="s">
        <v>1276</v>
      </c>
      <c r="C806" s="7">
        <f t="shared" si="48"/>
        <v>10</v>
      </c>
      <c r="D806" s="7" t="str">
        <f t="shared" si="49"/>
        <v>Oct</v>
      </c>
      <c r="E806" s="7" t="s">
        <v>1355</v>
      </c>
      <c r="F806" s="7" t="str">
        <f t="shared" si="50"/>
        <v>Bambang H.</v>
      </c>
      <c r="G806" s="7" t="s">
        <v>1357</v>
      </c>
      <c r="H806" s="7" t="s">
        <v>1365</v>
      </c>
      <c r="I806" s="7">
        <v>1</v>
      </c>
      <c r="J806" s="7" t="str">
        <f>INDEX(Master_Produk!$C$2:$C$11,MATCH(H806,Master_Produk!$A$2:$A$11,0))</f>
        <v>Elektronik</v>
      </c>
      <c r="K806" s="8">
        <f>INDEX(Master_Produk!$E$2:$E$11,MATCH(Data_Transaksi!H806,Master_Produk!$A$2:$A$11,0))</f>
        <v>1800000</v>
      </c>
      <c r="L806" s="8">
        <f t="shared" si="51"/>
        <v>1800000</v>
      </c>
      <c r="M806" s="8">
        <f>INDEX(Master_Target!$B$2:$M$4, MATCH(J806, Master_Target!$A$2:$A$4, 0), MATCH(TEXT(B806, "[$-421]mmmm"), Master_Target!$B$1:$M$1, 0))</f>
        <v>95000000</v>
      </c>
    </row>
    <row r="807" spans="1:13" x14ac:dyDescent="0.25">
      <c r="A807" s="7" t="s">
        <v>816</v>
      </c>
      <c r="B807" s="11" t="s">
        <v>1276</v>
      </c>
      <c r="C807" s="7">
        <f t="shared" si="48"/>
        <v>10</v>
      </c>
      <c r="D807" s="7" t="str">
        <f t="shared" si="49"/>
        <v>Oct</v>
      </c>
      <c r="E807" s="7" t="s">
        <v>1355</v>
      </c>
      <c r="F807" s="7" t="str">
        <f t="shared" si="50"/>
        <v>Bambang H.</v>
      </c>
      <c r="G807" s="7" t="s">
        <v>1357</v>
      </c>
      <c r="H807" s="7" t="s">
        <v>1363</v>
      </c>
      <c r="I807" s="7">
        <v>1</v>
      </c>
      <c r="J807" s="7" t="str">
        <f>INDEX(Master_Produk!$C$2:$C$11,MATCH(H807,Master_Produk!$A$2:$A$11,0))</f>
        <v>Pakaian</v>
      </c>
      <c r="K807" s="8">
        <f>INDEX(Master_Produk!$E$2:$E$11,MATCH(Data_Transaksi!H807,Master_Produk!$A$2:$A$11,0))</f>
        <v>250000</v>
      </c>
      <c r="L807" s="8">
        <f t="shared" si="51"/>
        <v>250000</v>
      </c>
      <c r="M807" s="8">
        <f>INDEX(Master_Target!$B$2:$M$4, MATCH(J807, Master_Target!$A$2:$A$4, 0), MATCH(TEXT(B807, "[$-421]mmmm"), Master_Target!$B$1:$M$1, 0))</f>
        <v>28500000</v>
      </c>
    </row>
    <row r="808" spans="1:13" x14ac:dyDescent="0.25">
      <c r="A808" s="7" t="s">
        <v>817</v>
      </c>
      <c r="B808" s="11" t="s">
        <v>1276</v>
      </c>
      <c r="C808" s="7">
        <f t="shared" si="48"/>
        <v>10</v>
      </c>
      <c r="D808" s="7" t="str">
        <f t="shared" si="49"/>
        <v>Oct</v>
      </c>
      <c r="E808" s="7" t="s">
        <v>1356</v>
      </c>
      <c r="F808" s="7" t="str">
        <f t="shared" si="50"/>
        <v>Eko Prasetyo</v>
      </c>
      <c r="G808" s="7" t="s">
        <v>1358</v>
      </c>
      <c r="H808" s="7" t="s">
        <v>1365</v>
      </c>
      <c r="I808" s="7">
        <v>2</v>
      </c>
      <c r="J808" s="7" t="str">
        <f>INDEX(Master_Produk!$C$2:$C$11,MATCH(H808,Master_Produk!$A$2:$A$11,0))</f>
        <v>Elektronik</v>
      </c>
      <c r="K808" s="8">
        <f>INDEX(Master_Produk!$E$2:$E$11,MATCH(Data_Transaksi!H808,Master_Produk!$A$2:$A$11,0))</f>
        <v>1800000</v>
      </c>
      <c r="L808" s="8">
        <f t="shared" si="51"/>
        <v>3600000</v>
      </c>
      <c r="M808" s="8">
        <f>INDEX(Master_Target!$B$2:$M$4, MATCH(J808, Master_Target!$A$2:$A$4, 0), MATCH(TEXT(B808, "[$-421]mmmm"), Master_Target!$B$1:$M$1, 0))</f>
        <v>95000000</v>
      </c>
    </row>
    <row r="809" spans="1:13" x14ac:dyDescent="0.25">
      <c r="A809" s="7" t="s">
        <v>818</v>
      </c>
      <c r="B809" s="11" t="s">
        <v>1276</v>
      </c>
      <c r="C809" s="7">
        <f t="shared" si="48"/>
        <v>10</v>
      </c>
      <c r="D809" s="7" t="str">
        <f t="shared" si="49"/>
        <v>Oct</v>
      </c>
      <c r="E809" s="7" t="s">
        <v>1351</v>
      </c>
      <c r="F809" s="7" t="str">
        <f t="shared" si="50"/>
        <v>Siti Rahma</v>
      </c>
      <c r="G809" s="7" t="s">
        <v>1359</v>
      </c>
      <c r="H809" s="7" t="s">
        <v>1363</v>
      </c>
      <c r="I809" s="7">
        <v>2</v>
      </c>
      <c r="J809" s="7" t="str">
        <f>INDEX(Master_Produk!$C$2:$C$11,MATCH(H809,Master_Produk!$A$2:$A$11,0))</f>
        <v>Pakaian</v>
      </c>
      <c r="K809" s="8">
        <f>INDEX(Master_Produk!$E$2:$E$11,MATCH(Data_Transaksi!H809,Master_Produk!$A$2:$A$11,0))</f>
        <v>250000</v>
      </c>
      <c r="L809" s="8">
        <f t="shared" si="51"/>
        <v>500000</v>
      </c>
      <c r="M809" s="8">
        <f>INDEX(Master_Target!$B$2:$M$4, MATCH(J809, Master_Target!$A$2:$A$4, 0), MATCH(TEXT(B809, "[$-421]mmmm"), Master_Target!$B$1:$M$1, 0))</f>
        <v>28500000</v>
      </c>
    </row>
    <row r="810" spans="1:13" x14ac:dyDescent="0.25">
      <c r="A810" s="7" t="s">
        <v>819</v>
      </c>
      <c r="B810" s="11" t="s">
        <v>1276</v>
      </c>
      <c r="C810" s="7">
        <f t="shared" si="48"/>
        <v>10</v>
      </c>
      <c r="D810" s="7" t="str">
        <f t="shared" si="49"/>
        <v>Oct</v>
      </c>
      <c r="E810" s="7" t="s">
        <v>1348</v>
      </c>
      <c r="F810" s="7" t="str">
        <f t="shared" si="50"/>
        <v>Budi Santoso</v>
      </c>
      <c r="G810" s="7" t="s">
        <v>1358</v>
      </c>
      <c r="H810" s="7" t="s">
        <v>1367</v>
      </c>
      <c r="I810" s="7">
        <v>2</v>
      </c>
      <c r="J810" s="7" t="str">
        <f>INDEX(Master_Produk!$C$2:$C$11,MATCH(H810,Master_Produk!$A$2:$A$11,0))</f>
        <v>Elektronik</v>
      </c>
      <c r="K810" s="8">
        <f>INDEX(Master_Produk!$E$2:$E$11,MATCH(Data_Transaksi!H810,Master_Produk!$A$2:$A$11,0))</f>
        <v>250000</v>
      </c>
      <c r="L810" s="8">
        <f t="shared" si="51"/>
        <v>500000</v>
      </c>
      <c r="M810" s="8">
        <f>INDEX(Master_Target!$B$2:$M$4, MATCH(J810, Master_Target!$A$2:$A$4, 0), MATCH(TEXT(B810, "[$-421]mmmm"), Master_Target!$B$1:$M$1, 0))</f>
        <v>95000000</v>
      </c>
    </row>
    <row r="811" spans="1:13" x14ac:dyDescent="0.25">
      <c r="A811" s="7" t="s">
        <v>820</v>
      </c>
      <c r="B811" s="11" t="s">
        <v>1277</v>
      </c>
      <c r="C811" s="7">
        <f t="shared" si="48"/>
        <v>10</v>
      </c>
      <c r="D811" s="7" t="str">
        <f t="shared" si="49"/>
        <v>Oct</v>
      </c>
      <c r="E811" s="7" t="s">
        <v>1349</v>
      </c>
      <c r="F811" s="7" t="str">
        <f t="shared" si="50"/>
        <v>Dewi Lestari</v>
      </c>
      <c r="G811" s="7" t="s">
        <v>1359</v>
      </c>
      <c r="H811" s="7" t="s">
        <v>1369</v>
      </c>
      <c r="I811" s="7">
        <v>3</v>
      </c>
      <c r="J811" s="7" t="str">
        <f>INDEX(Master_Produk!$C$2:$C$11,MATCH(H811,Master_Produk!$A$2:$A$11,0))</f>
        <v>Elektronik</v>
      </c>
      <c r="K811" s="8">
        <f>INDEX(Master_Produk!$E$2:$E$11,MATCH(Data_Transaksi!H811,Master_Produk!$A$2:$A$11,0))</f>
        <v>4500000</v>
      </c>
      <c r="L811" s="8">
        <f t="shared" si="51"/>
        <v>13500000</v>
      </c>
      <c r="M811" s="8">
        <f>INDEX(Master_Target!$B$2:$M$4, MATCH(J811, Master_Target!$A$2:$A$4, 0), MATCH(TEXT(B811, "[$-421]mmmm"), Master_Target!$B$1:$M$1, 0))</f>
        <v>95000000</v>
      </c>
    </row>
    <row r="812" spans="1:13" x14ac:dyDescent="0.25">
      <c r="A812" s="7" t="s">
        <v>821</v>
      </c>
      <c r="B812" s="11" t="s">
        <v>1277</v>
      </c>
      <c r="C812" s="7">
        <f t="shared" si="48"/>
        <v>10</v>
      </c>
      <c r="D812" s="7" t="str">
        <f t="shared" si="49"/>
        <v>Oct</v>
      </c>
      <c r="E812" s="7" t="s">
        <v>1355</v>
      </c>
      <c r="F812" s="7" t="str">
        <f t="shared" si="50"/>
        <v>Bambang H.</v>
      </c>
      <c r="G812" s="7" t="s">
        <v>1357</v>
      </c>
      <c r="H812" s="7" t="s">
        <v>1371</v>
      </c>
      <c r="I812" s="7">
        <v>3</v>
      </c>
      <c r="J812" s="7" t="str">
        <f>INDEX(Master_Produk!$C$2:$C$11,MATCH(H812,Master_Produk!$A$2:$A$11,0))</f>
        <v>Pakaian</v>
      </c>
      <c r="K812" s="8">
        <f>INDEX(Master_Produk!$E$2:$E$11,MATCH(Data_Transaksi!H812,Master_Produk!$A$2:$A$11,0))</f>
        <v>280000</v>
      </c>
      <c r="L812" s="8">
        <f t="shared" si="51"/>
        <v>840000</v>
      </c>
      <c r="M812" s="8">
        <f>INDEX(Master_Target!$B$2:$M$4, MATCH(J812, Master_Target!$A$2:$A$4, 0), MATCH(TEXT(B812, "[$-421]mmmm"), Master_Target!$B$1:$M$1, 0))</f>
        <v>28500000</v>
      </c>
    </row>
    <row r="813" spans="1:13" x14ac:dyDescent="0.25">
      <c r="A813" s="7" t="s">
        <v>822</v>
      </c>
      <c r="B813" s="11" t="s">
        <v>1278</v>
      </c>
      <c r="C813" s="7">
        <f t="shared" si="48"/>
        <v>10</v>
      </c>
      <c r="D813" s="7" t="str">
        <f t="shared" si="49"/>
        <v>Oct</v>
      </c>
      <c r="E813" s="7" t="s">
        <v>1347</v>
      </c>
      <c r="F813" s="7" t="str">
        <f t="shared" si="50"/>
        <v>Rina Marlina</v>
      </c>
      <c r="G813" s="7" t="s">
        <v>1361</v>
      </c>
      <c r="H813" s="7" t="s">
        <v>1363</v>
      </c>
      <c r="I813" s="7">
        <v>3</v>
      </c>
      <c r="J813" s="7" t="str">
        <f>INDEX(Master_Produk!$C$2:$C$11,MATCH(H813,Master_Produk!$A$2:$A$11,0))</f>
        <v>Pakaian</v>
      </c>
      <c r="K813" s="8">
        <f>INDEX(Master_Produk!$E$2:$E$11,MATCH(Data_Transaksi!H813,Master_Produk!$A$2:$A$11,0))</f>
        <v>250000</v>
      </c>
      <c r="L813" s="8">
        <f t="shared" si="51"/>
        <v>750000</v>
      </c>
      <c r="M813" s="8">
        <f>INDEX(Master_Target!$B$2:$M$4, MATCH(J813, Master_Target!$A$2:$A$4, 0), MATCH(TEXT(B813, "[$-421]mmmm"), Master_Target!$B$1:$M$1, 0))</f>
        <v>28500000</v>
      </c>
    </row>
    <row r="814" spans="1:13" x14ac:dyDescent="0.25">
      <c r="A814" s="7" t="s">
        <v>823</v>
      </c>
      <c r="B814" s="11" t="s">
        <v>1278</v>
      </c>
      <c r="C814" s="7">
        <f t="shared" si="48"/>
        <v>10</v>
      </c>
      <c r="D814" s="7" t="str">
        <f t="shared" si="49"/>
        <v>Oct</v>
      </c>
      <c r="E814" s="7" t="s">
        <v>1347</v>
      </c>
      <c r="F814" s="7" t="str">
        <f t="shared" si="50"/>
        <v>Rina Marlina</v>
      </c>
      <c r="G814" s="7" t="s">
        <v>1360</v>
      </c>
      <c r="H814" s="7" t="s">
        <v>1364</v>
      </c>
      <c r="I814" s="7">
        <v>5</v>
      </c>
      <c r="J814" s="7" t="str">
        <f>INDEX(Master_Produk!$C$2:$C$11,MATCH(H814,Master_Produk!$A$2:$A$11,0))</f>
        <v>Furnitur</v>
      </c>
      <c r="K814" s="8">
        <f>INDEX(Master_Produk!$E$2:$E$11,MATCH(Data_Transaksi!H814,Master_Produk!$A$2:$A$11,0))</f>
        <v>950000</v>
      </c>
      <c r="L814" s="8">
        <f t="shared" si="51"/>
        <v>4750000</v>
      </c>
      <c r="M814" s="8">
        <f>INDEX(Master_Target!$B$2:$M$4, MATCH(J814, Master_Target!$A$2:$A$4, 0), MATCH(TEXT(B814, "[$-421]mmmm"), Master_Target!$B$1:$M$1, 0))</f>
        <v>38000000</v>
      </c>
    </row>
    <row r="815" spans="1:13" x14ac:dyDescent="0.25">
      <c r="A815" s="7" t="s">
        <v>824</v>
      </c>
      <c r="B815" s="11" t="s">
        <v>1279</v>
      </c>
      <c r="C815" s="7">
        <f t="shared" si="48"/>
        <v>10</v>
      </c>
      <c r="D815" s="7" t="str">
        <f t="shared" si="49"/>
        <v>Oct</v>
      </c>
      <c r="E815" s="7" t="s">
        <v>1354</v>
      </c>
      <c r="F815" s="7" t="str">
        <f t="shared" si="50"/>
        <v>Mega Utami</v>
      </c>
      <c r="G815" s="7" t="s">
        <v>1357</v>
      </c>
      <c r="H815" s="7" t="s">
        <v>1367</v>
      </c>
      <c r="I815" s="7">
        <v>1</v>
      </c>
      <c r="J815" s="7" t="str">
        <f>INDEX(Master_Produk!$C$2:$C$11,MATCH(H815,Master_Produk!$A$2:$A$11,0))</f>
        <v>Elektronik</v>
      </c>
      <c r="K815" s="8">
        <f>INDEX(Master_Produk!$E$2:$E$11,MATCH(Data_Transaksi!H815,Master_Produk!$A$2:$A$11,0))</f>
        <v>250000</v>
      </c>
      <c r="L815" s="8">
        <f t="shared" si="51"/>
        <v>250000</v>
      </c>
      <c r="M815" s="8">
        <f>INDEX(Master_Target!$B$2:$M$4, MATCH(J815, Master_Target!$A$2:$A$4, 0), MATCH(TEXT(B815, "[$-421]mmmm"), Master_Target!$B$1:$M$1, 0))</f>
        <v>95000000</v>
      </c>
    </row>
    <row r="816" spans="1:13" x14ac:dyDescent="0.25">
      <c r="A816" s="7" t="s">
        <v>825</v>
      </c>
      <c r="B816" s="11" t="s">
        <v>1279</v>
      </c>
      <c r="C816" s="7">
        <f t="shared" si="48"/>
        <v>10</v>
      </c>
      <c r="D816" s="7" t="str">
        <f t="shared" si="49"/>
        <v>Oct</v>
      </c>
      <c r="E816" s="7" t="s">
        <v>1355</v>
      </c>
      <c r="F816" s="7" t="str">
        <f t="shared" si="50"/>
        <v>Bambang H.</v>
      </c>
      <c r="G816" s="7" t="s">
        <v>1357</v>
      </c>
      <c r="H816" s="7" t="s">
        <v>1362</v>
      </c>
      <c r="I816" s="7">
        <v>1</v>
      </c>
      <c r="J816" s="7" t="str">
        <f>INDEX(Master_Produk!$C$2:$C$11,MATCH(H816,Master_Produk!$A$2:$A$11,0))</f>
        <v>Pakaian</v>
      </c>
      <c r="K816" s="8">
        <f>INDEX(Master_Produk!$E$2:$E$11,MATCH(Data_Transaksi!H816,Master_Produk!$A$2:$A$11,0))</f>
        <v>350000</v>
      </c>
      <c r="L816" s="8">
        <f t="shared" si="51"/>
        <v>350000</v>
      </c>
      <c r="M816" s="8">
        <f>INDEX(Master_Target!$B$2:$M$4, MATCH(J816, Master_Target!$A$2:$A$4, 0), MATCH(TEXT(B816, "[$-421]mmmm"), Master_Target!$B$1:$M$1, 0))</f>
        <v>28500000</v>
      </c>
    </row>
    <row r="817" spans="1:13" x14ac:dyDescent="0.25">
      <c r="A817" s="7" t="s">
        <v>826</v>
      </c>
      <c r="B817" s="11" t="s">
        <v>1280</v>
      </c>
      <c r="C817" s="7">
        <f t="shared" si="48"/>
        <v>10</v>
      </c>
      <c r="D817" s="7" t="str">
        <f t="shared" si="49"/>
        <v>Oct</v>
      </c>
      <c r="E817" s="7" t="s">
        <v>1347</v>
      </c>
      <c r="F817" s="7" t="str">
        <f t="shared" si="50"/>
        <v>Rina Marlina</v>
      </c>
      <c r="G817" s="7" t="s">
        <v>1361</v>
      </c>
      <c r="H817" s="7" t="s">
        <v>1362</v>
      </c>
      <c r="I817" s="7">
        <v>1</v>
      </c>
      <c r="J817" s="7" t="str">
        <f>INDEX(Master_Produk!$C$2:$C$11,MATCH(H817,Master_Produk!$A$2:$A$11,0))</f>
        <v>Pakaian</v>
      </c>
      <c r="K817" s="8">
        <f>INDEX(Master_Produk!$E$2:$E$11,MATCH(Data_Transaksi!H817,Master_Produk!$A$2:$A$11,0))</f>
        <v>350000</v>
      </c>
      <c r="L817" s="8">
        <f t="shared" si="51"/>
        <v>350000</v>
      </c>
      <c r="M817" s="8">
        <f>INDEX(Master_Target!$B$2:$M$4, MATCH(J817, Master_Target!$A$2:$A$4, 0), MATCH(TEXT(B817, "[$-421]mmmm"), Master_Target!$B$1:$M$1, 0))</f>
        <v>28500000</v>
      </c>
    </row>
    <row r="818" spans="1:13" x14ac:dyDescent="0.25">
      <c r="A818" s="7" t="s">
        <v>827</v>
      </c>
      <c r="B818" s="11" t="s">
        <v>1280</v>
      </c>
      <c r="C818" s="7">
        <f t="shared" si="48"/>
        <v>10</v>
      </c>
      <c r="D818" s="7" t="str">
        <f t="shared" si="49"/>
        <v>Oct</v>
      </c>
      <c r="E818" s="7" t="s">
        <v>1353</v>
      </c>
      <c r="F818" s="7" t="str">
        <f t="shared" si="50"/>
        <v>Sari Yuliana</v>
      </c>
      <c r="G818" s="7" t="s">
        <v>1357</v>
      </c>
      <c r="H818" s="7" t="s">
        <v>1364</v>
      </c>
      <c r="I818" s="7">
        <v>2</v>
      </c>
      <c r="J818" s="7" t="str">
        <f>INDEX(Master_Produk!$C$2:$C$11,MATCH(H818,Master_Produk!$A$2:$A$11,0))</f>
        <v>Furnitur</v>
      </c>
      <c r="K818" s="8">
        <f>INDEX(Master_Produk!$E$2:$E$11,MATCH(Data_Transaksi!H818,Master_Produk!$A$2:$A$11,0))</f>
        <v>950000</v>
      </c>
      <c r="L818" s="8">
        <f t="shared" si="51"/>
        <v>1900000</v>
      </c>
      <c r="M818" s="8">
        <f>INDEX(Master_Target!$B$2:$M$4, MATCH(J818, Master_Target!$A$2:$A$4, 0), MATCH(TEXT(B818, "[$-421]mmmm"), Master_Target!$B$1:$M$1, 0))</f>
        <v>38000000</v>
      </c>
    </row>
    <row r="819" spans="1:13" x14ac:dyDescent="0.25">
      <c r="A819" s="7" t="s">
        <v>828</v>
      </c>
      <c r="B819" s="11" t="s">
        <v>1280</v>
      </c>
      <c r="C819" s="7">
        <f t="shared" si="48"/>
        <v>10</v>
      </c>
      <c r="D819" s="7" t="str">
        <f t="shared" si="49"/>
        <v>Oct</v>
      </c>
      <c r="E819" s="7" t="s">
        <v>1348</v>
      </c>
      <c r="F819" s="7" t="str">
        <f t="shared" si="50"/>
        <v>Budi Santoso</v>
      </c>
      <c r="G819" s="7" t="s">
        <v>1357</v>
      </c>
      <c r="H819" s="7" t="s">
        <v>1367</v>
      </c>
      <c r="I819" s="7">
        <v>4</v>
      </c>
      <c r="J819" s="7" t="str">
        <f>INDEX(Master_Produk!$C$2:$C$11,MATCH(H819,Master_Produk!$A$2:$A$11,0))</f>
        <v>Elektronik</v>
      </c>
      <c r="K819" s="8">
        <f>INDEX(Master_Produk!$E$2:$E$11,MATCH(Data_Transaksi!H819,Master_Produk!$A$2:$A$11,0))</f>
        <v>250000</v>
      </c>
      <c r="L819" s="8">
        <f t="shared" si="51"/>
        <v>1000000</v>
      </c>
      <c r="M819" s="8">
        <f>INDEX(Master_Target!$B$2:$M$4, MATCH(J819, Master_Target!$A$2:$A$4, 0), MATCH(TEXT(B819, "[$-421]mmmm"), Master_Target!$B$1:$M$1, 0))</f>
        <v>95000000</v>
      </c>
    </row>
    <row r="820" spans="1:13" x14ac:dyDescent="0.25">
      <c r="A820" s="7" t="s">
        <v>829</v>
      </c>
      <c r="B820" s="11" t="s">
        <v>1280</v>
      </c>
      <c r="C820" s="7">
        <f t="shared" si="48"/>
        <v>10</v>
      </c>
      <c r="D820" s="7" t="str">
        <f t="shared" si="49"/>
        <v>Oct</v>
      </c>
      <c r="E820" s="7" t="s">
        <v>1351</v>
      </c>
      <c r="F820" s="7" t="str">
        <f t="shared" si="50"/>
        <v>Siti Rahma</v>
      </c>
      <c r="G820" s="7" t="s">
        <v>1361</v>
      </c>
      <c r="H820" s="7" t="s">
        <v>1369</v>
      </c>
      <c r="I820" s="7">
        <v>1</v>
      </c>
      <c r="J820" s="7" t="str">
        <f>INDEX(Master_Produk!$C$2:$C$11,MATCH(H820,Master_Produk!$A$2:$A$11,0))</f>
        <v>Elektronik</v>
      </c>
      <c r="K820" s="8">
        <f>INDEX(Master_Produk!$E$2:$E$11,MATCH(Data_Transaksi!H820,Master_Produk!$A$2:$A$11,0))</f>
        <v>4500000</v>
      </c>
      <c r="L820" s="8">
        <f t="shared" si="51"/>
        <v>4500000</v>
      </c>
      <c r="M820" s="8">
        <f>INDEX(Master_Target!$B$2:$M$4, MATCH(J820, Master_Target!$A$2:$A$4, 0), MATCH(TEXT(B820, "[$-421]mmmm"), Master_Target!$B$1:$M$1, 0))</f>
        <v>95000000</v>
      </c>
    </row>
    <row r="821" spans="1:13" x14ac:dyDescent="0.25">
      <c r="A821" s="7" t="s">
        <v>830</v>
      </c>
      <c r="B821" s="11" t="s">
        <v>1281</v>
      </c>
      <c r="C821" s="7">
        <f t="shared" si="48"/>
        <v>10</v>
      </c>
      <c r="D821" s="7" t="str">
        <f t="shared" si="49"/>
        <v>Oct</v>
      </c>
      <c r="E821" s="7" t="s">
        <v>1351</v>
      </c>
      <c r="F821" s="7" t="str">
        <f t="shared" si="50"/>
        <v>Siti Rahma</v>
      </c>
      <c r="G821" s="7" t="s">
        <v>1357</v>
      </c>
      <c r="H821" s="7" t="s">
        <v>1370</v>
      </c>
      <c r="I821" s="7">
        <v>4</v>
      </c>
      <c r="J821" s="7" t="str">
        <f>INDEX(Master_Produk!$C$2:$C$11,MATCH(H821,Master_Produk!$A$2:$A$11,0))</f>
        <v>Furnitur</v>
      </c>
      <c r="K821" s="8">
        <f>INDEX(Master_Produk!$E$2:$E$11,MATCH(Data_Transaksi!H821,Master_Produk!$A$2:$A$11,0))</f>
        <v>1200000</v>
      </c>
      <c r="L821" s="8">
        <f t="shared" si="51"/>
        <v>4800000</v>
      </c>
      <c r="M821" s="8">
        <f>INDEX(Master_Target!$B$2:$M$4, MATCH(J821, Master_Target!$A$2:$A$4, 0), MATCH(TEXT(B821, "[$-421]mmmm"), Master_Target!$B$1:$M$1, 0))</f>
        <v>38000000</v>
      </c>
    </row>
    <row r="822" spans="1:13" x14ac:dyDescent="0.25">
      <c r="A822" s="7" t="s">
        <v>831</v>
      </c>
      <c r="B822" s="11" t="s">
        <v>1282</v>
      </c>
      <c r="C822" s="7">
        <f t="shared" si="48"/>
        <v>10</v>
      </c>
      <c r="D822" s="7" t="str">
        <f t="shared" si="49"/>
        <v>Oct</v>
      </c>
      <c r="E822" s="7" t="s">
        <v>1353</v>
      </c>
      <c r="F822" s="7" t="str">
        <f t="shared" si="50"/>
        <v>Sari Yuliana</v>
      </c>
      <c r="G822" s="7" t="s">
        <v>1359</v>
      </c>
      <c r="H822" s="7" t="s">
        <v>1363</v>
      </c>
      <c r="I822" s="7">
        <v>1</v>
      </c>
      <c r="J822" s="7" t="str">
        <f>INDEX(Master_Produk!$C$2:$C$11,MATCH(H822,Master_Produk!$A$2:$A$11,0))</f>
        <v>Pakaian</v>
      </c>
      <c r="K822" s="8">
        <f>INDEX(Master_Produk!$E$2:$E$11,MATCH(Data_Transaksi!H822,Master_Produk!$A$2:$A$11,0))</f>
        <v>250000</v>
      </c>
      <c r="L822" s="8">
        <f t="shared" si="51"/>
        <v>250000</v>
      </c>
      <c r="M822" s="8">
        <f>INDEX(Master_Target!$B$2:$M$4, MATCH(J822, Master_Target!$A$2:$A$4, 0), MATCH(TEXT(B822, "[$-421]mmmm"), Master_Target!$B$1:$M$1, 0))</f>
        <v>28500000</v>
      </c>
    </row>
    <row r="823" spans="1:13" x14ac:dyDescent="0.25">
      <c r="A823" s="7" t="s">
        <v>832</v>
      </c>
      <c r="B823" s="11" t="s">
        <v>1283</v>
      </c>
      <c r="C823" s="7">
        <f t="shared" si="48"/>
        <v>10</v>
      </c>
      <c r="D823" s="7" t="str">
        <f t="shared" si="49"/>
        <v>Oct</v>
      </c>
      <c r="E823" s="7" t="s">
        <v>1349</v>
      </c>
      <c r="F823" s="7" t="str">
        <f t="shared" si="50"/>
        <v>Dewi Lestari</v>
      </c>
      <c r="G823" s="7" t="s">
        <v>1359</v>
      </c>
      <c r="H823" s="7" t="s">
        <v>1366</v>
      </c>
      <c r="I823" s="7">
        <v>5</v>
      </c>
      <c r="J823" s="7" t="str">
        <f>INDEX(Master_Produk!$C$2:$C$11,MATCH(H823,Master_Produk!$A$2:$A$11,0))</f>
        <v>Elektronik</v>
      </c>
      <c r="K823" s="8">
        <f>INDEX(Master_Produk!$E$2:$E$11,MATCH(Data_Transaksi!H823,Master_Produk!$A$2:$A$11,0))</f>
        <v>7500000</v>
      </c>
      <c r="L823" s="8">
        <f t="shared" si="51"/>
        <v>37500000</v>
      </c>
      <c r="M823" s="8">
        <f>INDEX(Master_Target!$B$2:$M$4, MATCH(J823, Master_Target!$A$2:$A$4, 0), MATCH(TEXT(B823, "[$-421]mmmm"), Master_Target!$B$1:$M$1, 0))</f>
        <v>95000000</v>
      </c>
    </row>
    <row r="824" spans="1:13" x14ac:dyDescent="0.25">
      <c r="A824" s="7" t="s">
        <v>833</v>
      </c>
      <c r="B824" s="11" t="s">
        <v>1284</v>
      </c>
      <c r="C824" s="7">
        <f t="shared" si="48"/>
        <v>10</v>
      </c>
      <c r="D824" s="7" t="str">
        <f t="shared" si="49"/>
        <v>Oct</v>
      </c>
      <c r="E824" s="7" t="s">
        <v>1347</v>
      </c>
      <c r="F824" s="7" t="str">
        <f t="shared" si="50"/>
        <v>Rina Marlina</v>
      </c>
      <c r="G824" s="7" t="s">
        <v>1359</v>
      </c>
      <c r="H824" s="7" t="s">
        <v>1365</v>
      </c>
      <c r="I824" s="7">
        <v>1</v>
      </c>
      <c r="J824" s="7" t="str">
        <f>INDEX(Master_Produk!$C$2:$C$11,MATCH(H824,Master_Produk!$A$2:$A$11,0))</f>
        <v>Elektronik</v>
      </c>
      <c r="K824" s="8">
        <f>INDEX(Master_Produk!$E$2:$E$11,MATCH(Data_Transaksi!H824,Master_Produk!$A$2:$A$11,0))</f>
        <v>1800000</v>
      </c>
      <c r="L824" s="8">
        <f t="shared" si="51"/>
        <v>1800000</v>
      </c>
      <c r="M824" s="8">
        <f>INDEX(Master_Target!$B$2:$M$4, MATCH(J824, Master_Target!$A$2:$A$4, 0), MATCH(TEXT(B824, "[$-421]mmmm"), Master_Target!$B$1:$M$1, 0))</f>
        <v>95000000</v>
      </c>
    </row>
    <row r="825" spans="1:13" x14ac:dyDescent="0.25">
      <c r="A825" s="7" t="s">
        <v>834</v>
      </c>
      <c r="B825" s="11" t="s">
        <v>1285</v>
      </c>
      <c r="C825" s="7">
        <f t="shared" si="48"/>
        <v>10</v>
      </c>
      <c r="D825" s="7" t="str">
        <f t="shared" si="49"/>
        <v>Oct</v>
      </c>
      <c r="E825" s="7" t="s">
        <v>1350</v>
      </c>
      <c r="F825" s="7" t="str">
        <f t="shared" si="50"/>
        <v>Andi Wijaya</v>
      </c>
      <c r="G825" s="7" t="s">
        <v>1359</v>
      </c>
      <c r="H825" s="7" t="s">
        <v>1371</v>
      </c>
      <c r="I825" s="7">
        <v>1</v>
      </c>
      <c r="J825" s="7" t="str">
        <f>INDEX(Master_Produk!$C$2:$C$11,MATCH(H825,Master_Produk!$A$2:$A$11,0))</f>
        <v>Pakaian</v>
      </c>
      <c r="K825" s="8">
        <f>INDEX(Master_Produk!$E$2:$E$11,MATCH(Data_Transaksi!H825,Master_Produk!$A$2:$A$11,0))</f>
        <v>280000</v>
      </c>
      <c r="L825" s="8">
        <f t="shared" si="51"/>
        <v>280000</v>
      </c>
      <c r="M825" s="8">
        <f>INDEX(Master_Target!$B$2:$M$4, MATCH(J825, Master_Target!$A$2:$A$4, 0), MATCH(TEXT(B825, "[$-421]mmmm"), Master_Target!$B$1:$M$1, 0))</f>
        <v>28500000</v>
      </c>
    </row>
    <row r="826" spans="1:13" x14ac:dyDescent="0.25">
      <c r="A826" s="7" t="s">
        <v>835</v>
      </c>
      <c r="B826" s="11" t="s">
        <v>1285</v>
      </c>
      <c r="C826" s="7">
        <f t="shared" si="48"/>
        <v>10</v>
      </c>
      <c r="D826" s="7" t="str">
        <f t="shared" si="49"/>
        <v>Oct</v>
      </c>
      <c r="E826" s="7" t="s">
        <v>1347</v>
      </c>
      <c r="F826" s="7" t="str">
        <f t="shared" si="50"/>
        <v>Rina Marlina</v>
      </c>
      <c r="G826" s="7" t="s">
        <v>1357</v>
      </c>
      <c r="H826" s="7" t="s">
        <v>1362</v>
      </c>
      <c r="I826" s="7">
        <v>2</v>
      </c>
      <c r="J826" s="7" t="str">
        <f>INDEX(Master_Produk!$C$2:$C$11,MATCH(H826,Master_Produk!$A$2:$A$11,0))</f>
        <v>Pakaian</v>
      </c>
      <c r="K826" s="8">
        <f>INDEX(Master_Produk!$E$2:$E$11,MATCH(Data_Transaksi!H826,Master_Produk!$A$2:$A$11,0))</f>
        <v>350000</v>
      </c>
      <c r="L826" s="8">
        <f t="shared" si="51"/>
        <v>700000</v>
      </c>
      <c r="M826" s="8">
        <f>INDEX(Master_Target!$B$2:$M$4, MATCH(J826, Master_Target!$A$2:$A$4, 0), MATCH(TEXT(B826, "[$-421]mmmm"), Master_Target!$B$1:$M$1, 0))</f>
        <v>28500000</v>
      </c>
    </row>
    <row r="827" spans="1:13" x14ac:dyDescent="0.25">
      <c r="A827" s="7" t="s">
        <v>836</v>
      </c>
      <c r="B827" s="11" t="s">
        <v>1286</v>
      </c>
      <c r="C827" s="7">
        <f t="shared" si="48"/>
        <v>10</v>
      </c>
      <c r="D827" s="7" t="str">
        <f t="shared" si="49"/>
        <v>Oct</v>
      </c>
      <c r="E827" s="7" t="s">
        <v>1352</v>
      </c>
      <c r="F827" s="7" t="str">
        <f t="shared" si="50"/>
        <v>Ahmad Fauzi</v>
      </c>
      <c r="G827" s="7" t="s">
        <v>1360</v>
      </c>
      <c r="H827" s="7" t="s">
        <v>1365</v>
      </c>
      <c r="I827" s="7">
        <v>1</v>
      </c>
      <c r="J827" s="7" t="str">
        <f>INDEX(Master_Produk!$C$2:$C$11,MATCH(H827,Master_Produk!$A$2:$A$11,0))</f>
        <v>Elektronik</v>
      </c>
      <c r="K827" s="8">
        <f>INDEX(Master_Produk!$E$2:$E$11,MATCH(Data_Transaksi!H827,Master_Produk!$A$2:$A$11,0))</f>
        <v>1800000</v>
      </c>
      <c r="L827" s="8">
        <f t="shared" si="51"/>
        <v>1800000</v>
      </c>
      <c r="M827" s="8">
        <f>INDEX(Master_Target!$B$2:$M$4, MATCH(J827, Master_Target!$A$2:$A$4, 0), MATCH(TEXT(B827, "[$-421]mmmm"), Master_Target!$B$1:$M$1, 0))</f>
        <v>95000000</v>
      </c>
    </row>
    <row r="828" spans="1:13" x14ac:dyDescent="0.25">
      <c r="A828" s="7" t="s">
        <v>837</v>
      </c>
      <c r="B828" s="11" t="s">
        <v>1286</v>
      </c>
      <c r="C828" s="7">
        <f t="shared" si="48"/>
        <v>10</v>
      </c>
      <c r="D828" s="7" t="str">
        <f t="shared" si="49"/>
        <v>Oct</v>
      </c>
      <c r="E828" s="7" t="s">
        <v>1354</v>
      </c>
      <c r="F828" s="7" t="str">
        <f t="shared" si="50"/>
        <v>Mega Utami</v>
      </c>
      <c r="G828" s="7" t="s">
        <v>1359</v>
      </c>
      <c r="H828" s="7" t="s">
        <v>1371</v>
      </c>
      <c r="I828" s="7">
        <v>1</v>
      </c>
      <c r="J828" s="7" t="str">
        <f>INDEX(Master_Produk!$C$2:$C$11,MATCH(H828,Master_Produk!$A$2:$A$11,0))</f>
        <v>Pakaian</v>
      </c>
      <c r="K828" s="8">
        <f>INDEX(Master_Produk!$E$2:$E$11,MATCH(Data_Transaksi!H828,Master_Produk!$A$2:$A$11,0))</f>
        <v>280000</v>
      </c>
      <c r="L828" s="8">
        <f t="shared" si="51"/>
        <v>280000</v>
      </c>
      <c r="M828" s="8">
        <f>INDEX(Master_Target!$B$2:$M$4, MATCH(J828, Master_Target!$A$2:$A$4, 0), MATCH(TEXT(B828, "[$-421]mmmm"), Master_Target!$B$1:$M$1, 0))</f>
        <v>28500000</v>
      </c>
    </row>
    <row r="829" spans="1:13" x14ac:dyDescent="0.25">
      <c r="A829" s="7" t="s">
        <v>838</v>
      </c>
      <c r="B829" s="11" t="s">
        <v>1286</v>
      </c>
      <c r="C829" s="7">
        <f t="shared" si="48"/>
        <v>10</v>
      </c>
      <c r="D829" s="7" t="str">
        <f t="shared" si="49"/>
        <v>Oct</v>
      </c>
      <c r="E829" s="7" t="s">
        <v>1353</v>
      </c>
      <c r="F829" s="7" t="str">
        <f t="shared" si="50"/>
        <v>Sari Yuliana</v>
      </c>
      <c r="G829" s="7" t="s">
        <v>1359</v>
      </c>
      <c r="H829" s="7" t="s">
        <v>1367</v>
      </c>
      <c r="I829" s="7">
        <v>1</v>
      </c>
      <c r="J829" s="7" t="str">
        <f>INDEX(Master_Produk!$C$2:$C$11,MATCH(H829,Master_Produk!$A$2:$A$11,0))</f>
        <v>Elektronik</v>
      </c>
      <c r="K829" s="8">
        <f>INDEX(Master_Produk!$E$2:$E$11,MATCH(Data_Transaksi!H829,Master_Produk!$A$2:$A$11,0))</f>
        <v>250000</v>
      </c>
      <c r="L829" s="8">
        <f t="shared" si="51"/>
        <v>250000</v>
      </c>
      <c r="M829" s="8">
        <f>INDEX(Master_Target!$B$2:$M$4, MATCH(J829, Master_Target!$A$2:$A$4, 0), MATCH(TEXT(B829, "[$-421]mmmm"), Master_Target!$B$1:$M$1, 0))</f>
        <v>95000000</v>
      </c>
    </row>
    <row r="830" spans="1:13" x14ac:dyDescent="0.25">
      <c r="A830" s="7" t="s">
        <v>839</v>
      </c>
      <c r="B830" s="11" t="s">
        <v>1287</v>
      </c>
      <c r="C830" s="7">
        <f t="shared" si="48"/>
        <v>10</v>
      </c>
      <c r="D830" s="7" t="str">
        <f t="shared" si="49"/>
        <v>Oct</v>
      </c>
      <c r="E830" s="7" t="s">
        <v>1353</v>
      </c>
      <c r="F830" s="7" t="str">
        <f t="shared" si="50"/>
        <v>Sari Yuliana</v>
      </c>
      <c r="G830" s="7" t="s">
        <v>1357</v>
      </c>
      <c r="H830" s="7" t="s">
        <v>1371</v>
      </c>
      <c r="I830" s="7">
        <v>3</v>
      </c>
      <c r="J830" s="7" t="str">
        <f>INDEX(Master_Produk!$C$2:$C$11,MATCH(H830,Master_Produk!$A$2:$A$11,0))</f>
        <v>Pakaian</v>
      </c>
      <c r="K830" s="8">
        <f>INDEX(Master_Produk!$E$2:$E$11,MATCH(Data_Transaksi!H830,Master_Produk!$A$2:$A$11,0))</f>
        <v>280000</v>
      </c>
      <c r="L830" s="8">
        <f t="shared" si="51"/>
        <v>840000</v>
      </c>
      <c r="M830" s="8">
        <f>INDEX(Master_Target!$B$2:$M$4, MATCH(J830, Master_Target!$A$2:$A$4, 0), MATCH(TEXT(B830, "[$-421]mmmm"), Master_Target!$B$1:$M$1, 0))</f>
        <v>28500000</v>
      </c>
    </row>
    <row r="831" spans="1:13" x14ac:dyDescent="0.25">
      <c r="A831" s="7" t="s">
        <v>840</v>
      </c>
      <c r="B831" s="11" t="s">
        <v>1287</v>
      </c>
      <c r="C831" s="7">
        <f t="shared" si="48"/>
        <v>10</v>
      </c>
      <c r="D831" s="7" t="str">
        <f t="shared" si="49"/>
        <v>Oct</v>
      </c>
      <c r="E831" s="7" t="s">
        <v>1353</v>
      </c>
      <c r="F831" s="7" t="str">
        <f t="shared" si="50"/>
        <v>Sari Yuliana</v>
      </c>
      <c r="G831" s="7" t="s">
        <v>1358</v>
      </c>
      <c r="H831" s="7" t="s">
        <v>1365</v>
      </c>
      <c r="I831" s="7">
        <v>2</v>
      </c>
      <c r="J831" s="7" t="str">
        <f>INDEX(Master_Produk!$C$2:$C$11,MATCH(H831,Master_Produk!$A$2:$A$11,0))</f>
        <v>Elektronik</v>
      </c>
      <c r="K831" s="8">
        <f>INDEX(Master_Produk!$E$2:$E$11,MATCH(Data_Transaksi!H831,Master_Produk!$A$2:$A$11,0))</f>
        <v>1800000</v>
      </c>
      <c r="L831" s="8">
        <f t="shared" si="51"/>
        <v>3600000</v>
      </c>
      <c r="M831" s="8">
        <f>INDEX(Master_Target!$B$2:$M$4, MATCH(J831, Master_Target!$A$2:$A$4, 0), MATCH(TEXT(B831, "[$-421]mmmm"), Master_Target!$B$1:$M$1, 0))</f>
        <v>95000000</v>
      </c>
    </row>
    <row r="832" spans="1:13" x14ac:dyDescent="0.25">
      <c r="A832" s="7" t="s">
        <v>841</v>
      </c>
      <c r="B832" s="11" t="s">
        <v>1288</v>
      </c>
      <c r="C832" s="7">
        <f t="shared" si="48"/>
        <v>10</v>
      </c>
      <c r="D832" s="7" t="str">
        <f t="shared" si="49"/>
        <v>Oct</v>
      </c>
      <c r="E832" s="7" t="s">
        <v>1350</v>
      </c>
      <c r="F832" s="7" t="str">
        <f t="shared" si="50"/>
        <v>Andi Wijaya</v>
      </c>
      <c r="G832" s="7" t="s">
        <v>1357</v>
      </c>
      <c r="H832" s="7" t="s">
        <v>1362</v>
      </c>
      <c r="I832" s="7">
        <v>1</v>
      </c>
      <c r="J832" s="7" t="str">
        <f>INDEX(Master_Produk!$C$2:$C$11,MATCH(H832,Master_Produk!$A$2:$A$11,0))</f>
        <v>Pakaian</v>
      </c>
      <c r="K832" s="8">
        <f>INDEX(Master_Produk!$E$2:$E$11,MATCH(Data_Transaksi!H832,Master_Produk!$A$2:$A$11,0))</f>
        <v>350000</v>
      </c>
      <c r="L832" s="8">
        <f t="shared" si="51"/>
        <v>350000</v>
      </c>
      <c r="M832" s="8">
        <f>INDEX(Master_Target!$B$2:$M$4, MATCH(J832, Master_Target!$A$2:$A$4, 0), MATCH(TEXT(B832, "[$-421]mmmm"), Master_Target!$B$1:$M$1, 0))</f>
        <v>28500000</v>
      </c>
    </row>
    <row r="833" spans="1:13" x14ac:dyDescent="0.25">
      <c r="A833" s="7" t="s">
        <v>842</v>
      </c>
      <c r="B833" s="11" t="s">
        <v>1288</v>
      </c>
      <c r="C833" s="7">
        <f t="shared" si="48"/>
        <v>10</v>
      </c>
      <c r="D833" s="7" t="str">
        <f t="shared" si="49"/>
        <v>Oct</v>
      </c>
      <c r="E833" s="7" t="s">
        <v>1352</v>
      </c>
      <c r="F833" s="7" t="str">
        <f t="shared" si="50"/>
        <v>Ahmad Fauzi</v>
      </c>
      <c r="G833" s="7" t="s">
        <v>1361</v>
      </c>
      <c r="H833" s="7" t="s">
        <v>1370</v>
      </c>
      <c r="I833" s="7">
        <v>2</v>
      </c>
      <c r="J833" s="7" t="str">
        <f>INDEX(Master_Produk!$C$2:$C$11,MATCH(H833,Master_Produk!$A$2:$A$11,0))</f>
        <v>Furnitur</v>
      </c>
      <c r="K833" s="8">
        <f>INDEX(Master_Produk!$E$2:$E$11,MATCH(Data_Transaksi!H833,Master_Produk!$A$2:$A$11,0))</f>
        <v>1200000</v>
      </c>
      <c r="L833" s="8">
        <f t="shared" si="51"/>
        <v>2400000</v>
      </c>
      <c r="M833" s="8">
        <f>INDEX(Master_Target!$B$2:$M$4, MATCH(J833, Master_Target!$A$2:$A$4, 0), MATCH(TEXT(B833, "[$-421]mmmm"), Master_Target!$B$1:$M$1, 0))</f>
        <v>38000000</v>
      </c>
    </row>
    <row r="834" spans="1:13" x14ac:dyDescent="0.25">
      <c r="A834" s="7" t="s">
        <v>843</v>
      </c>
      <c r="B834" s="11" t="s">
        <v>1288</v>
      </c>
      <c r="C834" s="7">
        <f t="shared" si="48"/>
        <v>10</v>
      </c>
      <c r="D834" s="7" t="str">
        <f t="shared" si="49"/>
        <v>Oct</v>
      </c>
      <c r="E834" s="7" t="s">
        <v>1354</v>
      </c>
      <c r="F834" s="7" t="str">
        <f t="shared" si="50"/>
        <v>Mega Utami</v>
      </c>
      <c r="G834" s="7" t="s">
        <v>1359</v>
      </c>
      <c r="H834" s="7" t="s">
        <v>1363</v>
      </c>
      <c r="I834" s="7">
        <v>3</v>
      </c>
      <c r="J834" s="7" t="str">
        <f>INDEX(Master_Produk!$C$2:$C$11,MATCH(H834,Master_Produk!$A$2:$A$11,0))</f>
        <v>Pakaian</v>
      </c>
      <c r="K834" s="8">
        <f>INDEX(Master_Produk!$E$2:$E$11,MATCH(Data_Transaksi!H834,Master_Produk!$A$2:$A$11,0))</f>
        <v>250000</v>
      </c>
      <c r="L834" s="8">
        <f t="shared" si="51"/>
        <v>750000</v>
      </c>
      <c r="M834" s="8">
        <f>INDEX(Master_Target!$B$2:$M$4, MATCH(J834, Master_Target!$A$2:$A$4, 0), MATCH(TEXT(B834, "[$-421]mmmm"), Master_Target!$B$1:$M$1, 0))</f>
        <v>28500000</v>
      </c>
    </row>
    <row r="835" spans="1:13" x14ac:dyDescent="0.25">
      <c r="A835" s="7" t="s">
        <v>844</v>
      </c>
      <c r="B835" s="11" t="s">
        <v>1288</v>
      </c>
      <c r="C835" s="7">
        <f t="shared" ref="C835:C898" si="52">MONTH(B835)</f>
        <v>10</v>
      </c>
      <c r="D835" s="7" t="str">
        <f t="shared" ref="D835:D898" si="53">TEXT(B835,"mmm")</f>
        <v>Oct</v>
      </c>
      <c r="E835" s="7" t="s">
        <v>1355</v>
      </c>
      <c r="F835" s="7" t="str">
        <f t="shared" ref="F835:F898" si="54">TRIM(PROPER(E835))</f>
        <v>Bambang H.</v>
      </c>
      <c r="G835" s="7" t="s">
        <v>1361</v>
      </c>
      <c r="H835" s="7" t="s">
        <v>1371</v>
      </c>
      <c r="I835" s="7">
        <v>1</v>
      </c>
      <c r="J835" s="7" t="str">
        <f>INDEX(Master_Produk!$C$2:$C$11,MATCH(H835,Master_Produk!$A$2:$A$11,0))</f>
        <v>Pakaian</v>
      </c>
      <c r="K835" s="8">
        <f>INDEX(Master_Produk!$E$2:$E$11,MATCH(Data_Transaksi!H835,Master_Produk!$A$2:$A$11,0))</f>
        <v>280000</v>
      </c>
      <c r="L835" s="8">
        <f t="shared" ref="L835:L898" si="55">I835*K835</f>
        <v>280000</v>
      </c>
      <c r="M835" s="8">
        <f>INDEX(Master_Target!$B$2:$M$4, MATCH(J835, Master_Target!$A$2:$A$4, 0), MATCH(TEXT(B835, "[$-421]mmmm"), Master_Target!$B$1:$M$1, 0))</f>
        <v>28500000</v>
      </c>
    </row>
    <row r="836" spans="1:13" x14ac:dyDescent="0.25">
      <c r="A836" s="7" t="s">
        <v>845</v>
      </c>
      <c r="B836" s="11" t="s">
        <v>1289</v>
      </c>
      <c r="C836" s="7">
        <f t="shared" si="52"/>
        <v>10</v>
      </c>
      <c r="D836" s="7" t="str">
        <f t="shared" si="53"/>
        <v>Oct</v>
      </c>
      <c r="E836" s="7" t="s">
        <v>1355</v>
      </c>
      <c r="F836" s="7" t="str">
        <f t="shared" si="54"/>
        <v>Bambang H.</v>
      </c>
      <c r="G836" s="7" t="s">
        <v>1359</v>
      </c>
      <c r="H836" s="7" t="s">
        <v>1362</v>
      </c>
      <c r="I836" s="7">
        <v>2</v>
      </c>
      <c r="J836" s="7" t="str">
        <f>INDEX(Master_Produk!$C$2:$C$11,MATCH(H836,Master_Produk!$A$2:$A$11,0))</f>
        <v>Pakaian</v>
      </c>
      <c r="K836" s="8">
        <f>INDEX(Master_Produk!$E$2:$E$11,MATCH(Data_Transaksi!H836,Master_Produk!$A$2:$A$11,0))</f>
        <v>350000</v>
      </c>
      <c r="L836" s="8">
        <f t="shared" si="55"/>
        <v>700000</v>
      </c>
      <c r="M836" s="8">
        <f>INDEX(Master_Target!$B$2:$M$4, MATCH(J836, Master_Target!$A$2:$A$4, 0), MATCH(TEXT(B836, "[$-421]mmmm"), Master_Target!$B$1:$M$1, 0))</f>
        <v>28500000</v>
      </c>
    </row>
    <row r="837" spans="1:13" x14ac:dyDescent="0.25">
      <c r="A837" s="7" t="s">
        <v>846</v>
      </c>
      <c r="B837" s="11" t="s">
        <v>1289</v>
      </c>
      <c r="C837" s="7">
        <f t="shared" si="52"/>
        <v>10</v>
      </c>
      <c r="D837" s="7" t="str">
        <f t="shared" si="53"/>
        <v>Oct</v>
      </c>
      <c r="E837" s="7" t="s">
        <v>1349</v>
      </c>
      <c r="F837" s="7" t="str">
        <f t="shared" si="54"/>
        <v>Dewi Lestari</v>
      </c>
      <c r="G837" s="7" t="s">
        <v>1358</v>
      </c>
      <c r="H837" s="7" t="s">
        <v>1364</v>
      </c>
      <c r="I837" s="7">
        <v>1</v>
      </c>
      <c r="J837" s="7" t="str">
        <f>INDEX(Master_Produk!$C$2:$C$11,MATCH(H837,Master_Produk!$A$2:$A$11,0))</f>
        <v>Furnitur</v>
      </c>
      <c r="K837" s="8">
        <f>INDEX(Master_Produk!$E$2:$E$11,MATCH(Data_Transaksi!H837,Master_Produk!$A$2:$A$11,0))</f>
        <v>950000</v>
      </c>
      <c r="L837" s="8">
        <f t="shared" si="55"/>
        <v>950000</v>
      </c>
      <c r="M837" s="8">
        <f>INDEX(Master_Target!$B$2:$M$4, MATCH(J837, Master_Target!$A$2:$A$4, 0), MATCH(TEXT(B837, "[$-421]mmmm"), Master_Target!$B$1:$M$1, 0))</f>
        <v>38000000</v>
      </c>
    </row>
    <row r="838" spans="1:13" x14ac:dyDescent="0.25">
      <c r="A838" s="7" t="s">
        <v>847</v>
      </c>
      <c r="B838" s="11" t="s">
        <v>1289</v>
      </c>
      <c r="C838" s="7">
        <f t="shared" si="52"/>
        <v>10</v>
      </c>
      <c r="D838" s="7" t="str">
        <f t="shared" si="53"/>
        <v>Oct</v>
      </c>
      <c r="E838" s="7" t="s">
        <v>1353</v>
      </c>
      <c r="F838" s="7" t="str">
        <f t="shared" si="54"/>
        <v>Sari Yuliana</v>
      </c>
      <c r="G838" s="7" t="s">
        <v>1360</v>
      </c>
      <c r="H838" s="7" t="s">
        <v>1367</v>
      </c>
      <c r="I838" s="7">
        <v>1</v>
      </c>
      <c r="J838" s="7" t="str">
        <f>INDEX(Master_Produk!$C$2:$C$11,MATCH(H838,Master_Produk!$A$2:$A$11,0))</f>
        <v>Elektronik</v>
      </c>
      <c r="K838" s="8">
        <f>INDEX(Master_Produk!$E$2:$E$11,MATCH(Data_Transaksi!H838,Master_Produk!$A$2:$A$11,0))</f>
        <v>250000</v>
      </c>
      <c r="L838" s="8">
        <f t="shared" si="55"/>
        <v>250000</v>
      </c>
      <c r="M838" s="8">
        <f>INDEX(Master_Target!$B$2:$M$4, MATCH(J838, Master_Target!$A$2:$A$4, 0), MATCH(TEXT(B838, "[$-421]mmmm"), Master_Target!$B$1:$M$1, 0))</f>
        <v>95000000</v>
      </c>
    </row>
    <row r="839" spans="1:13" x14ac:dyDescent="0.25">
      <c r="A839" s="7" t="s">
        <v>848</v>
      </c>
      <c r="B839" s="11" t="s">
        <v>1289</v>
      </c>
      <c r="C839" s="7">
        <f t="shared" si="52"/>
        <v>10</v>
      </c>
      <c r="D839" s="7" t="str">
        <f t="shared" si="53"/>
        <v>Oct</v>
      </c>
      <c r="E839" s="7" t="s">
        <v>1354</v>
      </c>
      <c r="F839" s="7" t="str">
        <f t="shared" si="54"/>
        <v>Mega Utami</v>
      </c>
      <c r="G839" s="7" t="s">
        <v>1358</v>
      </c>
      <c r="H839" s="7" t="s">
        <v>1371</v>
      </c>
      <c r="I839" s="7">
        <v>2</v>
      </c>
      <c r="J839" s="7" t="str">
        <f>INDEX(Master_Produk!$C$2:$C$11,MATCH(H839,Master_Produk!$A$2:$A$11,0))</f>
        <v>Pakaian</v>
      </c>
      <c r="K839" s="8">
        <f>INDEX(Master_Produk!$E$2:$E$11,MATCH(Data_Transaksi!H839,Master_Produk!$A$2:$A$11,0))</f>
        <v>280000</v>
      </c>
      <c r="L839" s="8">
        <f t="shared" si="55"/>
        <v>560000</v>
      </c>
      <c r="M839" s="8">
        <f>INDEX(Master_Target!$B$2:$M$4, MATCH(J839, Master_Target!$A$2:$A$4, 0), MATCH(TEXT(B839, "[$-421]mmmm"), Master_Target!$B$1:$M$1, 0))</f>
        <v>28500000</v>
      </c>
    </row>
    <row r="840" spans="1:13" x14ac:dyDescent="0.25">
      <c r="A840" s="7" t="s">
        <v>849</v>
      </c>
      <c r="B840" s="11" t="s">
        <v>1289</v>
      </c>
      <c r="C840" s="7">
        <f t="shared" si="52"/>
        <v>10</v>
      </c>
      <c r="D840" s="7" t="str">
        <f t="shared" si="53"/>
        <v>Oct</v>
      </c>
      <c r="E840" s="7" t="s">
        <v>1349</v>
      </c>
      <c r="F840" s="7" t="str">
        <f t="shared" si="54"/>
        <v>Dewi Lestari</v>
      </c>
      <c r="G840" s="7" t="s">
        <v>1357</v>
      </c>
      <c r="H840" s="7" t="s">
        <v>1370</v>
      </c>
      <c r="I840" s="7">
        <v>1</v>
      </c>
      <c r="J840" s="7" t="str">
        <f>INDEX(Master_Produk!$C$2:$C$11,MATCH(H840,Master_Produk!$A$2:$A$11,0))</f>
        <v>Furnitur</v>
      </c>
      <c r="K840" s="8">
        <f>INDEX(Master_Produk!$E$2:$E$11,MATCH(Data_Transaksi!H840,Master_Produk!$A$2:$A$11,0))</f>
        <v>1200000</v>
      </c>
      <c r="L840" s="8">
        <f t="shared" si="55"/>
        <v>1200000</v>
      </c>
      <c r="M840" s="8">
        <f>INDEX(Master_Target!$B$2:$M$4, MATCH(J840, Master_Target!$A$2:$A$4, 0), MATCH(TEXT(B840, "[$-421]mmmm"), Master_Target!$B$1:$M$1, 0))</f>
        <v>38000000</v>
      </c>
    </row>
    <row r="841" spans="1:13" x14ac:dyDescent="0.25">
      <c r="A841" s="7" t="s">
        <v>850</v>
      </c>
      <c r="B841" s="11" t="s">
        <v>1290</v>
      </c>
      <c r="C841" s="7">
        <f t="shared" si="52"/>
        <v>11</v>
      </c>
      <c r="D841" s="7" t="str">
        <f t="shared" si="53"/>
        <v>Nov</v>
      </c>
      <c r="E841" s="7" t="s">
        <v>1353</v>
      </c>
      <c r="F841" s="7" t="str">
        <f t="shared" si="54"/>
        <v>Sari Yuliana</v>
      </c>
      <c r="G841" s="7" t="s">
        <v>1357</v>
      </c>
      <c r="H841" s="7" t="s">
        <v>1365</v>
      </c>
      <c r="I841" s="7">
        <v>2</v>
      </c>
      <c r="J841" s="7" t="str">
        <f>INDEX(Master_Produk!$C$2:$C$11,MATCH(H841,Master_Produk!$A$2:$A$11,0))</f>
        <v>Elektronik</v>
      </c>
      <c r="K841" s="8">
        <f>INDEX(Master_Produk!$E$2:$E$11,MATCH(Data_Transaksi!H841,Master_Produk!$A$2:$A$11,0))</f>
        <v>1800000</v>
      </c>
      <c r="L841" s="8">
        <f t="shared" si="55"/>
        <v>3600000</v>
      </c>
      <c r="M841" s="8">
        <f>INDEX(Master_Target!$B$2:$M$4, MATCH(J841, Master_Target!$A$2:$A$4, 0), MATCH(TEXT(B841, "[$-421]mmmm"), Master_Target!$B$1:$M$1, 0))</f>
        <v>100000000</v>
      </c>
    </row>
    <row r="842" spans="1:13" x14ac:dyDescent="0.25">
      <c r="A842" s="7" t="s">
        <v>851</v>
      </c>
      <c r="B842" s="11" t="s">
        <v>1290</v>
      </c>
      <c r="C842" s="7">
        <f t="shared" si="52"/>
        <v>11</v>
      </c>
      <c r="D842" s="7" t="str">
        <f t="shared" si="53"/>
        <v>Nov</v>
      </c>
      <c r="E842" s="7" t="s">
        <v>1353</v>
      </c>
      <c r="F842" s="7" t="str">
        <f t="shared" si="54"/>
        <v>Sari Yuliana</v>
      </c>
      <c r="G842" s="7" t="s">
        <v>1361</v>
      </c>
      <c r="H842" s="7" t="s">
        <v>1371</v>
      </c>
      <c r="I842" s="7">
        <v>3</v>
      </c>
      <c r="J842" s="7" t="str">
        <f>INDEX(Master_Produk!$C$2:$C$11,MATCH(H842,Master_Produk!$A$2:$A$11,0))</f>
        <v>Pakaian</v>
      </c>
      <c r="K842" s="8">
        <f>INDEX(Master_Produk!$E$2:$E$11,MATCH(Data_Transaksi!H842,Master_Produk!$A$2:$A$11,0))</f>
        <v>280000</v>
      </c>
      <c r="L842" s="8">
        <f t="shared" si="55"/>
        <v>840000</v>
      </c>
      <c r="M842" s="8">
        <f>INDEX(Master_Target!$B$2:$M$4, MATCH(J842, Master_Target!$A$2:$A$4, 0), MATCH(TEXT(B842, "[$-421]mmmm"), Master_Target!$B$1:$M$1, 0))</f>
        <v>30000000</v>
      </c>
    </row>
    <row r="843" spans="1:13" x14ac:dyDescent="0.25">
      <c r="A843" s="7" t="s">
        <v>852</v>
      </c>
      <c r="B843" s="11" t="s">
        <v>1291</v>
      </c>
      <c r="C843" s="7">
        <f t="shared" si="52"/>
        <v>11</v>
      </c>
      <c r="D843" s="7" t="str">
        <f t="shared" si="53"/>
        <v>Nov</v>
      </c>
      <c r="E843" s="7" t="s">
        <v>1348</v>
      </c>
      <c r="F843" s="7" t="str">
        <f t="shared" si="54"/>
        <v>Budi Santoso</v>
      </c>
      <c r="G843" s="7" t="s">
        <v>1361</v>
      </c>
      <c r="H843" s="7" t="s">
        <v>1363</v>
      </c>
      <c r="I843" s="7">
        <v>1</v>
      </c>
      <c r="J843" s="7" t="str">
        <f>INDEX(Master_Produk!$C$2:$C$11,MATCH(H843,Master_Produk!$A$2:$A$11,0))</f>
        <v>Pakaian</v>
      </c>
      <c r="K843" s="8">
        <f>INDEX(Master_Produk!$E$2:$E$11,MATCH(Data_Transaksi!H843,Master_Produk!$A$2:$A$11,0))</f>
        <v>250000</v>
      </c>
      <c r="L843" s="8">
        <f t="shared" si="55"/>
        <v>250000</v>
      </c>
      <c r="M843" s="8">
        <f>INDEX(Master_Target!$B$2:$M$4, MATCH(J843, Master_Target!$A$2:$A$4, 0), MATCH(TEXT(B843, "[$-421]mmmm"), Master_Target!$B$1:$M$1, 0))</f>
        <v>30000000</v>
      </c>
    </row>
    <row r="844" spans="1:13" x14ac:dyDescent="0.25">
      <c r="A844" s="7" t="s">
        <v>853</v>
      </c>
      <c r="B844" s="11" t="s">
        <v>1291</v>
      </c>
      <c r="C844" s="7">
        <f t="shared" si="52"/>
        <v>11</v>
      </c>
      <c r="D844" s="7" t="str">
        <f t="shared" si="53"/>
        <v>Nov</v>
      </c>
      <c r="E844" s="7" t="s">
        <v>1353</v>
      </c>
      <c r="F844" s="7" t="str">
        <f t="shared" si="54"/>
        <v>Sari Yuliana</v>
      </c>
      <c r="G844" s="7" t="s">
        <v>1357</v>
      </c>
      <c r="H844" s="7" t="s">
        <v>1367</v>
      </c>
      <c r="I844" s="7">
        <v>2</v>
      </c>
      <c r="J844" s="7" t="str">
        <f>INDEX(Master_Produk!$C$2:$C$11,MATCH(H844,Master_Produk!$A$2:$A$11,0))</f>
        <v>Elektronik</v>
      </c>
      <c r="K844" s="8">
        <f>INDEX(Master_Produk!$E$2:$E$11,MATCH(Data_Transaksi!H844,Master_Produk!$A$2:$A$11,0))</f>
        <v>250000</v>
      </c>
      <c r="L844" s="8">
        <f t="shared" si="55"/>
        <v>500000</v>
      </c>
      <c r="M844" s="8">
        <f>INDEX(Master_Target!$B$2:$M$4, MATCH(J844, Master_Target!$A$2:$A$4, 0), MATCH(TEXT(B844, "[$-421]mmmm"), Master_Target!$B$1:$M$1, 0))</f>
        <v>100000000</v>
      </c>
    </row>
    <row r="845" spans="1:13" x14ac:dyDescent="0.25">
      <c r="A845" s="7" t="s">
        <v>854</v>
      </c>
      <c r="B845" s="11" t="s">
        <v>1291</v>
      </c>
      <c r="C845" s="7">
        <f t="shared" si="52"/>
        <v>11</v>
      </c>
      <c r="D845" s="7" t="str">
        <f t="shared" si="53"/>
        <v>Nov</v>
      </c>
      <c r="E845" s="7" t="s">
        <v>1347</v>
      </c>
      <c r="F845" s="7" t="str">
        <f t="shared" si="54"/>
        <v>Rina Marlina</v>
      </c>
      <c r="G845" s="7" t="s">
        <v>1357</v>
      </c>
      <c r="H845" s="7" t="s">
        <v>1362</v>
      </c>
      <c r="I845" s="7">
        <v>1</v>
      </c>
      <c r="J845" s="7" t="str">
        <f>INDEX(Master_Produk!$C$2:$C$11,MATCH(H845,Master_Produk!$A$2:$A$11,0))</f>
        <v>Pakaian</v>
      </c>
      <c r="K845" s="8">
        <f>INDEX(Master_Produk!$E$2:$E$11,MATCH(Data_Transaksi!H845,Master_Produk!$A$2:$A$11,0))</f>
        <v>350000</v>
      </c>
      <c r="L845" s="8">
        <f t="shared" si="55"/>
        <v>350000</v>
      </c>
      <c r="M845" s="8">
        <f>INDEX(Master_Target!$B$2:$M$4, MATCH(J845, Master_Target!$A$2:$A$4, 0), MATCH(TEXT(B845, "[$-421]mmmm"), Master_Target!$B$1:$M$1, 0))</f>
        <v>30000000</v>
      </c>
    </row>
    <row r="846" spans="1:13" x14ac:dyDescent="0.25">
      <c r="A846" s="7" t="s">
        <v>855</v>
      </c>
      <c r="B846" s="11" t="s">
        <v>1292</v>
      </c>
      <c r="C846" s="7">
        <f t="shared" si="52"/>
        <v>11</v>
      </c>
      <c r="D846" s="7" t="str">
        <f t="shared" si="53"/>
        <v>Nov</v>
      </c>
      <c r="E846" s="7" t="s">
        <v>1350</v>
      </c>
      <c r="F846" s="7" t="str">
        <f t="shared" si="54"/>
        <v>Andi Wijaya</v>
      </c>
      <c r="G846" s="7" t="s">
        <v>1357</v>
      </c>
      <c r="H846" s="7" t="s">
        <v>1364</v>
      </c>
      <c r="I846" s="7">
        <v>5</v>
      </c>
      <c r="J846" s="7" t="str">
        <f>INDEX(Master_Produk!$C$2:$C$11,MATCH(H846,Master_Produk!$A$2:$A$11,0))</f>
        <v>Furnitur</v>
      </c>
      <c r="K846" s="8">
        <f>INDEX(Master_Produk!$E$2:$E$11,MATCH(Data_Transaksi!H846,Master_Produk!$A$2:$A$11,0))</f>
        <v>950000</v>
      </c>
      <c r="L846" s="8">
        <f t="shared" si="55"/>
        <v>4750000</v>
      </c>
      <c r="M846" s="8">
        <f>INDEX(Master_Target!$B$2:$M$4, MATCH(J846, Master_Target!$A$2:$A$4, 0), MATCH(TEXT(B846, "[$-421]mmmm"), Master_Target!$B$1:$M$1, 0))</f>
        <v>40000000</v>
      </c>
    </row>
    <row r="847" spans="1:13" x14ac:dyDescent="0.25">
      <c r="A847" s="7" t="s">
        <v>856</v>
      </c>
      <c r="B847" s="11" t="s">
        <v>1292</v>
      </c>
      <c r="C847" s="7">
        <f t="shared" si="52"/>
        <v>11</v>
      </c>
      <c r="D847" s="7" t="str">
        <f t="shared" si="53"/>
        <v>Nov</v>
      </c>
      <c r="E847" s="7" t="s">
        <v>1350</v>
      </c>
      <c r="F847" s="7" t="str">
        <f t="shared" si="54"/>
        <v>Andi Wijaya</v>
      </c>
      <c r="G847" s="7" t="s">
        <v>1359</v>
      </c>
      <c r="H847" s="7" t="s">
        <v>1371</v>
      </c>
      <c r="I847" s="7">
        <v>2</v>
      </c>
      <c r="J847" s="7" t="str">
        <f>INDEX(Master_Produk!$C$2:$C$11,MATCH(H847,Master_Produk!$A$2:$A$11,0))</f>
        <v>Pakaian</v>
      </c>
      <c r="K847" s="8">
        <f>INDEX(Master_Produk!$E$2:$E$11,MATCH(Data_Transaksi!H847,Master_Produk!$A$2:$A$11,0))</f>
        <v>280000</v>
      </c>
      <c r="L847" s="8">
        <f t="shared" si="55"/>
        <v>560000</v>
      </c>
      <c r="M847" s="8">
        <f>INDEX(Master_Target!$B$2:$M$4, MATCH(J847, Master_Target!$A$2:$A$4, 0), MATCH(TEXT(B847, "[$-421]mmmm"), Master_Target!$B$1:$M$1, 0))</f>
        <v>30000000</v>
      </c>
    </row>
    <row r="848" spans="1:13" x14ac:dyDescent="0.25">
      <c r="A848" s="7" t="s">
        <v>857</v>
      </c>
      <c r="B848" s="11" t="s">
        <v>1293</v>
      </c>
      <c r="C848" s="7">
        <f t="shared" si="52"/>
        <v>11</v>
      </c>
      <c r="D848" s="7" t="str">
        <f t="shared" si="53"/>
        <v>Nov</v>
      </c>
      <c r="E848" s="7" t="s">
        <v>1349</v>
      </c>
      <c r="F848" s="7" t="str">
        <f t="shared" si="54"/>
        <v>Dewi Lestari</v>
      </c>
      <c r="G848" s="7" t="s">
        <v>1358</v>
      </c>
      <c r="H848" s="7" t="s">
        <v>1365</v>
      </c>
      <c r="I848" s="7">
        <v>3</v>
      </c>
      <c r="J848" s="7" t="str">
        <f>INDEX(Master_Produk!$C$2:$C$11,MATCH(H848,Master_Produk!$A$2:$A$11,0))</f>
        <v>Elektronik</v>
      </c>
      <c r="K848" s="8">
        <f>INDEX(Master_Produk!$E$2:$E$11,MATCH(Data_Transaksi!H848,Master_Produk!$A$2:$A$11,0))</f>
        <v>1800000</v>
      </c>
      <c r="L848" s="8">
        <f t="shared" si="55"/>
        <v>5400000</v>
      </c>
      <c r="M848" s="8">
        <f>INDEX(Master_Target!$B$2:$M$4, MATCH(J848, Master_Target!$A$2:$A$4, 0), MATCH(TEXT(B848, "[$-421]mmmm"), Master_Target!$B$1:$M$1, 0))</f>
        <v>100000000</v>
      </c>
    </row>
    <row r="849" spans="1:13" x14ac:dyDescent="0.25">
      <c r="A849" s="7" t="s">
        <v>858</v>
      </c>
      <c r="B849" s="11" t="s">
        <v>1293</v>
      </c>
      <c r="C849" s="7">
        <f t="shared" si="52"/>
        <v>11</v>
      </c>
      <c r="D849" s="7" t="str">
        <f t="shared" si="53"/>
        <v>Nov</v>
      </c>
      <c r="E849" s="7" t="s">
        <v>1347</v>
      </c>
      <c r="F849" s="7" t="str">
        <f t="shared" si="54"/>
        <v>Rina Marlina</v>
      </c>
      <c r="G849" s="7" t="s">
        <v>1359</v>
      </c>
      <c r="H849" s="7" t="s">
        <v>1363</v>
      </c>
      <c r="I849" s="7">
        <v>2</v>
      </c>
      <c r="J849" s="7" t="str">
        <f>INDEX(Master_Produk!$C$2:$C$11,MATCH(H849,Master_Produk!$A$2:$A$11,0))</f>
        <v>Pakaian</v>
      </c>
      <c r="K849" s="8">
        <f>INDEX(Master_Produk!$E$2:$E$11,MATCH(Data_Transaksi!H849,Master_Produk!$A$2:$A$11,0))</f>
        <v>250000</v>
      </c>
      <c r="L849" s="8">
        <f t="shared" si="55"/>
        <v>500000</v>
      </c>
      <c r="M849" s="8">
        <f>INDEX(Master_Target!$B$2:$M$4, MATCH(J849, Master_Target!$A$2:$A$4, 0), MATCH(TEXT(B849, "[$-421]mmmm"), Master_Target!$B$1:$M$1, 0))</f>
        <v>30000000</v>
      </c>
    </row>
    <row r="850" spans="1:13" x14ac:dyDescent="0.25">
      <c r="A850" s="7" t="s">
        <v>859</v>
      </c>
      <c r="B850" s="11" t="s">
        <v>1293</v>
      </c>
      <c r="C850" s="7">
        <f t="shared" si="52"/>
        <v>11</v>
      </c>
      <c r="D850" s="7" t="str">
        <f t="shared" si="53"/>
        <v>Nov</v>
      </c>
      <c r="E850" s="7" t="s">
        <v>1351</v>
      </c>
      <c r="F850" s="7" t="str">
        <f t="shared" si="54"/>
        <v>Siti Rahma</v>
      </c>
      <c r="G850" s="7" t="s">
        <v>1360</v>
      </c>
      <c r="H850" s="7" t="s">
        <v>1365</v>
      </c>
      <c r="I850" s="7">
        <v>1</v>
      </c>
      <c r="J850" s="7" t="str">
        <f>INDEX(Master_Produk!$C$2:$C$11,MATCH(H850,Master_Produk!$A$2:$A$11,0))</f>
        <v>Elektronik</v>
      </c>
      <c r="K850" s="8">
        <f>INDEX(Master_Produk!$E$2:$E$11,MATCH(Data_Transaksi!H850,Master_Produk!$A$2:$A$11,0))</f>
        <v>1800000</v>
      </c>
      <c r="L850" s="8">
        <f t="shared" si="55"/>
        <v>1800000</v>
      </c>
      <c r="M850" s="8">
        <f>INDEX(Master_Target!$B$2:$M$4, MATCH(J850, Master_Target!$A$2:$A$4, 0), MATCH(TEXT(B850, "[$-421]mmmm"), Master_Target!$B$1:$M$1, 0))</f>
        <v>100000000</v>
      </c>
    </row>
    <row r="851" spans="1:13" x14ac:dyDescent="0.25">
      <c r="A851" s="7" t="s">
        <v>860</v>
      </c>
      <c r="B851" s="11" t="s">
        <v>1294</v>
      </c>
      <c r="C851" s="7">
        <f t="shared" si="52"/>
        <v>11</v>
      </c>
      <c r="D851" s="7" t="str">
        <f t="shared" si="53"/>
        <v>Nov</v>
      </c>
      <c r="E851" s="7" t="s">
        <v>1350</v>
      </c>
      <c r="F851" s="7" t="str">
        <f t="shared" si="54"/>
        <v>Andi Wijaya</v>
      </c>
      <c r="G851" s="7" t="s">
        <v>1359</v>
      </c>
      <c r="H851" s="7" t="s">
        <v>1371</v>
      </c>
      <c r="I851" s="7">
        <v>2</v>
      </c>
      <c r="J851" s="7" t="str">
        <f>INDEX(Master_Produk!$C$2:$C$11,MATCH(H851,Master_Produk!$A$2:$A$11,0))</f>
        <v>Pakaian</v>
      </c>
      <c r="K851" s="8">
        <f>INDEX(Master_Produk!$E$2:$E$11,MATCH(Data_Transaksi!H851,Master_Produk!$A$2:$A$11,0))</f>
        <v>280000</v>
      </c>
      <c r="L851" s="8">
        <f t="shared" si="55"/>
        <v>560000</v>
      </c>
      <c r="M851" s="8">
        <f>INDEX(Master_Target!$B$2:$M$4, MATCH(J851, Master_Target!$A$2:$A$4, 0), MATCH(TEXT(B851, "[$-421]mmmm"), Master_Target!$B$1:$M$1, 0))</f>
        <v>30000000</v>
      </c>
    </row>
    <row r="852" spans="1:13" x14ac:dyDescent="0.25">
      <c r="A852" s="7" t="s">
        <v>861</v>
      </c>
      <c r="B852" s="11" t="s">
        <v>1295</v>
      </c>
      <c r="C852" s="7">
        <f t="shared" si="52"/>
        <v>11</v>
      </c>
      <c r="D852" s="7" t="str">
        <f t="shared" si="53"/>
        <v>Nov</v>
      </c>
      <c r="E852" s="7" t="s">
        <v>1351</v>
      </c>
      <c r="F852" s="7" t="str">
        <f t="shared" si="54"/>
        <v>Siti Rahma</v>
      </c>
      <c r="G852" s="7" t="s">
        <v>1357</v>
      </c>
      <c r="H852" s="7" t="s">
        <v>1369</v>
      </c>
      <c r="I852" s="7">
        <v>5</v>
      </c>
      <c r="J852" s="7" t="str">
        <f>INDEX(Master_Produk!$C$2:$C$11,MATCH(H852,Master_Produk!$A$2:$A$11,0))</f>
        <v>Elektronik</v>
      </c>
      <c r="K852" s="8">
        <f>INDEX(Master_Produk!$E$2:$E$11,MATCH(Data_Transaksi!H852,Master_Produk!$A$2:$A$11,0))</f>
        <v>4500000</v>
      </c>
      <c r="L852" s="8">
        <f t="shared" si="55"/>
        <v>22500000</v>
      </c>
      <c r="M852" s="8">
        <f>INDEX(Master_Target!$B$2:$M$4, MATCH(J852, Master_Target!$A$2:$A$4, 0), MATCH(TEXT(B852, "[$-421]mmmm"), Master_Target!$B$1:$M$1, 0))</f>
        <v>100000000</v>
      </c>
    </row>
    <row r="853" spans="1:13" x14ac:dyDescent="0.25">
      <c r="A853" s="7" t="s">
        <v>862</v>
      </c>
      <c r="B853" s="11" t="s">
        <v>1295</v>
      </c>
      <c r="C853" s="7">
        <f t="shared" si="52"/>
        <v>11</v>
      </c>
      <c r="D853" s="7" t="str">
        <f t="shared" si="53"/>
        <v>Nov</v>
      </c>
      <c r="E853" s="7" t="s">
        <v>1352</v>
      </c>
      <c r="F853" s="7" t="str">
        <f t="shared" si="54"/>
        <v>Ahmad Fauzi</v>
      </c>
      <c r="G853" s="7" t="s">
        <v>1359</v>
      </c>
      <c r="H853" s="7" t="s">
        <v>1362</v>
      </c>
      <c r="I853" s="7">
        <v>2</v>
      </c>
      <c r="J853" s="7" t="str">
        <f>INDEX(Master_Produk!$C$2:$C$11,MATCH(H853,Master_Produk!$A$2:$A$11,0))</f>
        <v>Pakaian</v>
      </c>
      <c r="K853" s="8">
        <f>INDEX(Master_Produk!$E$2:$E$11,MATCH(Data_Transaksi!H853,Master_Produk!$A$2:$A$11,0))</f>
        <v>350000</v>
      </c>
      <c r="L853" s="8">
        <f t="shared" si="55"/>
        <v>700000</v>
      </c>
      <c r="M853" s="8">
        <f>INDEX(Master_Target!$B$2:$M$4, MATCH(J853, Master_Target!$A$2:$A$4, 0), MATCH(TEXT(B853, "[$-421]mmmm"), Master_Target!$B$1:$M$1, 0))</f>
        <v>30000000</v>
      </c>
    </row>
    <row r="854" spans="1:13" x14ac:dyDescent="0.25">
      <c r="A854" s="7" t="s">
        <v>863</v>
      </c>
      <c r="B854" s="11" t="s">
        <v>1296</v>
      </c>
      <c r="C854" s="7">
        <f t="shared" si="52"/>
        <v>11</v>
      </c>
      <c r="D854" s="7" t="str">
        <f t="shared" si="53"/>
        <v>Nov</v>
      </c>
      <c r="E854" s="7" t="s">
        <v>1347</v>
      </c>
      <c r="F854" s="7" t="str">
        <f t="shared" si="54"/>
        <v>Rina Marlina</v>
      </c>
      <c r="G854" s="7" t="s">
        <v>1361</v>
      </c>
      <c r="H854" s="7" t="s">
        <v>1364</v>
      </c>
      <c r="I854" s="7">
        <v>3</v>
      </c>
      <c r="J854" s="7" t="str">
        <f>INDEX(Master_Produk!$C$2:$C$11,MATCH(H854,Master_Produk!$A$2:$A$11,0))</f>
        <v>Furnitur</v>
      </c>
      <c r="K854" s="8">
        <f>INDEX(Master_Produk!$E$2:$E$11,MATCH(Data_Transaksi!H854,Master_Produk!$A$2:$A$11,0))</f>
        <v>950000</v>
      </c>
      <c r="L854" s="8">
        <f t="shared" si="55"/>
        <v>2850000</v>
      </c>
      <c r="M854" s="8">
        <f>INDEX(Master_Target!$B$2:$M$4, MATCH(J854, Master_Target!$A$2:$A$4, 0), MATCH(TEXT(B854, "[$-421]mmmm"), Master_Target!$B$1:$M$1, 0))</f>
        <v>40000000</v>
      </c>
    </row>
    <row r="855" spans="1:13" x14ac:dyDescent="0.25">
      <c r="A855" s="7" t="s">
        <v>864</v>
      </c>
      <c r="B855" s="11" t="s">
        <v>1296</v>
      </c>
      <c r="C855" s="7">
        <f t="shared" si="52"/>
        <v>11</v>
      </c>
      <c r="D855" s="7" t="str">
        <f t="shared" si="53"/>
        <v>Nov</v>
      </c>
      <c r="E855" s="7" t="s">
        <v>1351</v>
      </c>
      <c r="F855" s="7" t="str">
        <f t="shared" si="54"/>
        <v>Siti Rahma</v>
      </c>
      <c r="G855" s="7" t="s">
        <v>1357</v>
      </c>
      <c r="H855" s="7" t="s">
        <v>1362</v>
      </c>
      <c r="I855" s="7">
        <v>4</v>
      </c>
      <c r="J855" s="7" t="str">
        <f>INDEX(Master_Produk!$C$2:$C$11,MATCH(H855,Master_Produk!$A$2:$A$11,0))</f>
        <v>Pakaian</v>
      </c>
      <c r="K855" s="8">
        <f>INDEX(Master_Produk!$E$2:$E$11,MATCH(Data_Transaksi!H855,Master_Produk!$A$2:$A$11,0))</f>
        <v>350000</v>
      </c>
      <c r="L855" s="8">
        <f t="shared" si="55"/>
        <v>1400000</v>
      </c>
      <c r="M855" s="8">
        <f>INDEX(Master_Target!$B$2:$M$4, MATCH(J855, Master_Target!$A$2:$A$4, 0), MATCH(TEXT(B855, "[$-421]mmmm"), Master_Target!$B$1:$M$1, 0))</f>
        <v>30000000</v>
      </c>
    </row>
    <row r="856" spans="1:13" x14ac:dyDescent="0.25">
      <c r="A856" s="7" t="s">
        <v>865</v>
      </c>
      <c r="B856" s="11" t="s">
        <v>1296</v>
      </c>
      <c r="C856" s="7">
        <f t="shared" si="52"/>
        <v>11</v>
      </c>
      <c r="D856" s="7" t="str">
        <f t="shared" si="53"/>
        <v>Nov</v>
      </c>
      <c r="E856" s="7" t="s">
        <v>1348</v>
      </c>
      <c r="F856" s="7" t="str">
        <f t="shared" si="54"/>
        <v>Budi Santoso</v>
      </c>
      <c r="G856" s="7" t="s">
        <v>1358</v>
      </c>
      <c r="H856" s="7" t="s">
        <v>1368</v>
      </c>
      <c r="I856" s="7">
        <v>1</v>
      </c>
      <c r="J856" s="7" t="str">
        <f>INDEX(Master_Produk!$C$2:$C$11,MATCH(H856,Master_Produk!$A$2:$A$11,0))</f>
        <v>Furnitur</v>
      </c>
      <c r="K856" s="8">
        <f>INDEX(Master_Produk!$E$2:$E$11,MATCH(Data_Transaksi!H856,Master_Produk!$A$2:$A$11,0))</f>
        <v>650000</v>
      </c>
      <c r="L856" s="8">
        <f t="shared" si="55"/>
        <v>650000</v>
      </c>
      <c r="M856" s="8">
        <f>INDEX(Master_Target!$B$2:$M$4, MATCH(J856, Master_Target!$A$2:$A$4, 0), MATCH(TEXT(B856, "[$-421]mmmm"), Master_Target!$B$1:$M$1, 0))</f>
        <v>40000000</v>
      </c>
    </row>
    <row r="857" spans="1:13" x14ac:dyDescent="0.25">
      <c r="A857" s="7" t="s">
        <v>866</v>
      </c>
      <c r="B857" s="11" t="s">
        <v>1297</v>
      </c>
      <c r="C857" s="7">
        <f t="shared" si="52"/>
        <v>11</v>
      </c>
      <c r="D857" s="7" t="str">
        <f t="shared" si="53"/>
        <v>Nov</v>
      </c>
      <c r="E857" s="7" t="s">
        <v>1354</v>
      </c>
      <c r="F857" s="7" t="str">
        <f t="shared" si="54"/>
        <v>Mega Utami</v>
      </c>
      <c r="G857" s="7" t="s">
        <v>1359</v>
      </c>
      <c r="H857" s="7" t="s">
        <v>1370</v>
      </c>
      <c r="I857" s="7">
        <v>1</v>
      </c>
      <c r="J857" s="7" t="str">
        <f>INDEX(Master_Produk!$C$2:$C$11,MATCH(H857,Master_Produk!$A$2:$A$11,0))</f>
        <v>Furnitur</v>
      </c>
      <c r="K857" s="8">
        <f>INDEX(Master_Produk!$E$2:$E$11,MATCH(Data_Transaksi!H857,Master_Produk!$A$2:$A$11,0))</f>
        <v>1200000</v>
      </c>
      <c r="L857" s="8">
        <f t="shared" si="55"/>
        <v>1200000</v>
      </c>
      <c r="M857" s="8">
        <f>INDEX(Master_Target!$B$2:$M$4, MATCH(J857, Master_Target!$A$2:$A$4, 0), MATCH(TEXT(B857, "[$-421]mmmm"), Master_Target!$B$1:$M$1, 0))</f>
        <v>40000000</v>
      </c>
    </row>
    <row r="858" spans="1:13" x14ac:dyDescent="0.25">
      <c r="A858" s="7" t="s">
        <v>867</v>
      </c>
      <c r="B858" s="11" t="s">
        <v>1297</v>
      </c>
      <c r="C858" s="7">
        <f t="shared" si="52"/>
        <v>11</v>
      </c>
      <c r="D858" s="7" t="str">
        <f t="shared" si="53"/>
        <v>Nov</v>
      </c>
      <c r="E858" s="7" t="s">
        <v>1355</v>
      </c>
      <c r="F858" s="7" t="str">
        <f t="shared" si="54"/>
        <v>Bambang H.</v>
      </c>
      <c r="G858" s="7" t="s">
        <v>1357</v>
      </c>
      <c r="H858" s="7" t="s">
        <v>1368</v>
      </c>
      <c r="I858" s="7">
        <v>2</v>
      </c>
      <c r="J858" s="7" t="str">
        <f>INDEX(Master_Produk!$C$2:$C$11,MATCH(H858,Master_Produk!$A$2:$A$11,0))</f>
        <v>Furnitur</v>
      </c>
      <c r="K858" s="8">
        <f>INDEX(Master_Produk!$E$2:$E$11,MATCH(Data_Transaksi!H858,Master_Produk!$A$2:$A$11,0))</f>
        <v>650000</v>
      </c>
      <c r="L858" s="8">
        <f t="shared" si="55"/>
        <v>1300000</v>
      </c>
      <c r="M858" s="8">
        <f>INDEX(Master_Target!$B$2:$M$4, MATCH(J858, Master_Target!$A$2:$A$4, 0), MATCH(TEXT(B858, "[$-421]mmmm"), Master_Target!$B$1:$M$1, 0))</f>
        <v>40000000</v>
      </c>
    </row>
    <row r="859" spans="1:13" x14ac:dyDescent="0.25">
      <c r="A859" s="7" t="s">
        <v>868</v>
      </c>
      <c r="B859" s="11" t="s">
        <v>1297</v>
      </c>
      <c r="C859" s="7">
        <f t="shared" si="52"/>
        <v>11</v>
      </c>
      <c r="D859" s="7" t="str">
        <f t="shared" si="53"/>
        <v>Nov</v>
      </c>
      <c r="E859" s="7" t="s">
        <v>1353</v>
      </c>
      <c r="F859" s="7" t="str">
        <f t="shared" si="54"/>
        <v>Sari Yuliana</v>
      </c>
      <c r="G859" s="7" t="s">
        <v>1361</v>
      </c>
      <c r="H859" s="7" t="s">
        <v>1366</v>
      </c>
      <c r="I859" s="7">
        <v>2</v>
      </c>
      <c r="J859" s="7" t="str">
        <f>INDEX(Master_Produk!$C$2:$C$11,MATCH(H859,Master_Produk!$A$2:$A$11,0))</f>
        <v>Elektronik</v>
      </c>
      <c r="K859" s="8">
        <f>INDEX(Master_Produk!$E$2:$E$11,MATCH(Data_Transaksi!H859,Master_Produk!$A$2:$A$11,0))</f>
        <v>7500000</v>
      </c>
      <c r="L859" s="8">
        <f t="shared" si="55"/>
        <v>15000000</v>
      </c>
      <c r="M859" s="8">
        <f>INDEX(Master_Target!$B$2:$M$4, MATCH(J859, Master_Target!$A$2:$A$4, 0), MATCH(TEXT(B859, "[$-421]mmmm"), Master_Target!$B$1:$M$1, 0))</f>
        <v>100000000</v>
      </c>
    </row>
    <row r="860" spans="1:13" x14ac:dyDescent="0.25">
      <c r="A860" s="7" t="s">
        <v>869</v>
      </c>
      <c r="B860" s="11" t="s">
        <v>1298</v>
      </c>
      <c r="C860" s="7">
        <f t="shared" si="52"/>
        <v>11</v>
      </c>
      <c r="D860" s="7" t="str">
        <f t="shared" si="53"/>
        <v>Nov</v>
      </c>
      <c r="E860" s="7" t="s">
        <v>1355</v>
      </c>
      <c r="F860" s="7" t="str">
        <f t="shared" si="54"/>
        <v>Bambang H.</v>
      </c>
      <c r="G860" s="7" t="s">
        <v>1361</v>
      </c>
      <c r="H860" s="7" t="s">
        <v>1367</v>
      </c>
      <c r="I860" s="7">
        <v>3</v>
      </c>
      <c r="J860" s="7" t="str">
        <f>INDEX(Master_Produk!$C$2:$C$11,MATCH(H860,Master_Produk!$A$2:$A$11,0))</f>
        <v>Elektronik</v>
      </c>
      <c r="K860" s="8">
        <f>INDEX(Master_Produk!$E$2:$E$11,MATCH(Data_Transaksi!H860,Master_Produk!$A$2:$A$11,0))</f>
        <v>250000</v>
      </c>
      <c r="L860" s="8">
        <f t="shared" si="55"/>
        <v>750000</v>
      </c>
      <c r="M860" s="8">
        <f>INDEX(Master_Target!$B$2:$M$4, MATCH(J860, Master_Target!$A$2:$A$4, 0), MATCH(TEXT(B860, "[$-421]mmmm"), Master_Target!$B$1:$M$1, 0))</f>
        <v>100000000</v>
      </c>
    </row>
    <row r="861" spans="1:13" x14ac:dyDescent="0.25">
      <c r="A861" s="7" t="s">
        <v>870</v>
      </c>
      <c r="B861" s="11" t="s">
        <v>1298</v>
      </c>
      <c r="C861" s="7">
        <f t="shared" si="52"/>
        <v>11</v>
      </c>
      <c r="D861" s="7" t="str">
        <f t="shared" si="53"/>
        <v>Nov</v>
      </c>
      <c r="E861" s="7" t="s">
        <v>1349</v>
      </c>
      <c r="F861" s="7" t="str">
        <f t="shared" si="54"/>
        <v>Dewi Lestari</v>
      </c>
      <c r="G861" s="7" t="s">
        <v>1359</v>
      </c>
      <c r="H861" s="7" t="s">
        <v>1364</v>
      </c>
      <c r="I861" s="7">
        <v>4</v>
      </c>
      <c r="J861" s="7" t="str">
        <f>INDEX(Master_Produk!$C$2:$C$11,MATCH(H861,Master_Produk!$A$2:$A$11,0))</f>
        <v>Furnitur</v>
      </c>
      <c r="K861" s="8">
        <f>INDEX(Master_Produk!$E$2:$E$11,MATCH(Data_Transaksi!H861,Master_Produk!$A$2:$A$11,0))</f>
        <v>950000</v>
      </c>
      <c r="L861" s="8">
        <f t="shared" si="55"/>
        <v>3800000</v>
      </c>
      <c r="M861" s="8">
        <f>INDEX(Master_Target!$B$2:$M$4, MATCH(J861, Master_Target!$A$2:$A$4, 0), MATCH(TEXT(B861, "[$-421]mmmm"), Master_Target!$B$1:$M$1, 0))</f>
        <v>40000000</v>
      </c>
    </row>
    <row r="862" spans="1:13" x14ac:dyDescent="0.25">
      <c r="A862" s="7" t="s">
        <v>871</v>
      </c>
      <c r="B862" s="11" t="s">
        <v>1299</v>
      </c>
      <c r="C862" s="7">
        <f t="shared" si="52"/>
        <v>11</v>
      </c>
      <c r="D862" s="7" t="str">
        <f t="shared" si="53"/>
        <v>Nov</v>
      </c>
      <c r="E862" s="7" t="s">
        <v>1348</v>
      </c>
      <c r="F862" s="7" t="str">
        <f t="shared" si="54"/>
        <v>Budi Santoso</v>
      </c>
      <c r="G862" s="7" t="s">
        <v>1357</v>
      </c>
      <c r="H862" s="7" t="s">
        <v>1367</v>
      </c>
      <c r="I862" s="7">
        <v>1</v>
      </c>
      <c r="J862" s="7" t="str">
        <f>INDEX(Master_Produk!$C$2:$C$11,MATCH(H862,Master_Produk!$A$2:$A$11,0))</f>
        <v>Elektronik</v>
      </c>
      <c r="K862" s="8">
        <f>INDEX(Master_Produk!$E$2:$E$11,MATCH(Data_Transaksi!H862,Master_Produk!$A$2:$A$11,0))</f>
        <v>250000</v>
      </c>
      <c r="L862" s="8">
        <f t="shared" si="55"/>
        <v>250000</v>
      </c>
      <c r="M862" s="8">
        <f>INDEX(Master_Target!$B$2:$M$4, MATCH(J862, Master_Target!$A$2:$A$4, 0), MATCH(TEXT(B862, "[$-421]mmmm"), Master_Target!$B$1:$M$1, 0))</f>
        <v>100000000</v>
      </c>
    </row>
    <row r="863" spans="1:13" x14ac:dyDescent="0.25">
      <c r="A863" s="7" t="s">
        <v>872</v>
      </c>
      <c r="B863" s="11" t="s">
        <v>1299</v>
      </c>
      <c r="C863" s="7">
        <f t="shared" si="52"/>
        <v>11</v>
      </c>
      <c r="D863" s="7" t="str">
        <f t="shared" si="53"/>
        <v>Nov</v>
      </c>
      <c r="E863" s="7" t="s">
        <v>1350</v>
      </c>
      <c r="F863" s="7" t="str">
        <f t="shared" si="54"/>
        <v>Andi Wijaya</v>
      </c>
      <c r="G863" s="7" t="s">
        <v>1358</v>
      </c>
      <c r="H863" s="7" t="s">
        <v>1363</v>
      </c>
      <c r="I863" s="7">
        <v>1</v>
      </c>
      <c r="J863" s="7" t="str">
        <f>INDEX(Master_Produk!$C$2:$C$11,MATCH(H863,Master_Produk!$A$2:$A$11,0))</f>
        <v>Pakaian</v>
      </c>
      <c r="K863" s="8">
        <f>INDEX(Master_Produk!$E$2:$E$11,MATCH(Data_Transaksi!H863,Master_Produk!$A$2:$A$11,0))</f>
        <v>250000</v>
      </c>
      <c r="L863" s="8">
        <f t="shared" si="55"/>
        <v>250000</v>
      </c>
      <c r="M863" s="8">
        <f>INDEX(Master_Target!$B$2:$M$4, MATCH(J863, Master_Target!$A$2:$A$4, 0), MATCH(TEXT(B863, "[$-421]mmmm"), Master_Target!$B$1:$M$1, 0))</f>
        <v>30000000</v>
      </c>
    </row>
    <row r="864" spans="1:13" x14ac:dyDescent="0.25">
      <c r="A864" s="7" t="s">
        <v>873</v>
      </c>
      <c r="B864" s="11" t="s">
        <v>1299</v>
      </c>
      <c r="C864" s="7">
        <f t="shared" si="52"/>
        <v>11</v>
      </c>
      <c r="D864" s="7" t="str">
        <f t="shared" si="53"/>
        <v>Nov</v>
      </c>
      <c r="E864" s="7" t="s">
        <v>1349</v>
      </c>
      <c r="F864" s="7" t="str">
        <f t="shared" si="54"/>
        <v>Dewi Lestari</v>
      </c>
      <c r="G864" s="7" t="s">
        <v>1360</v>
      </c>
      <c r="H864" s="7" t="s">
        <v>1369</v>
      </c>
      <c r="I864" s="7">
        <v>3</v>
      </c>
      <c r="J864" s="7" t="str">
        <f>INDEX(Master_Produk!$C$2:$C$11,MATCH(H864,Master_Produk!$A$2:$A$11,0))</f>
        <v>Elektronik</v>
      </c>
      <c r="K864" s="8">
        <f>INDEX(Master_Produk!$E$2:$E$11,MATCH(Data_Transaksi!H864,Master_Produk!$A$2:$A$11,0))</f>
        <v>4500000</v>
      </c>
      <c r="L864" s="8">
        <f t="shared" si="55"/>
        <v>13500000</v>
      </c>
      <c r="M864" s="8">
        <f>INDEX(Master_Target!$B$2:$M$4, MATCH(J864, Master_Target!$A$2:$A$4, 0), MATCH(TEXT(B864, "[$-421]mmmm"), Master_Target!$B$1:$M$1, 0))</f>
        <v>100000000</v>
      </c>
    </row>
    <row r="865" spans="1:13" x14ac:dyDescent="0.25">
      <c r="A865" s="7" t="s">
        <v>874</v>
      </c>
      <c r="B865" s="11" t="s">
        <v>1300</v>
      </c>
      <c r="C865" s="7">
        <f t="shared" si="52"/>
        <v>11</v>
      </c>
      <c r="D865" s="7" t="str">
        <f t="shared" si="53"/>
        <v>Nov</v>
      </c>
      <c r="E865" s="7" t="s">
        <v>1349</v>
      </c>
      <c r="F865" s="7" t="str">
        <f t="shared" si="54"/>
        <v>Dewi Lestari</v>
      </c>
      <c r="G865" s="7" t="s">
        <v>1361</v>
      </c>
      <c r="H865" s="7" t="s">
        <v>1365</v>
      </c>
      <c r="I865" s="7">
        <v>1</v>
      </c>
      <c r="J865" s="7" t="str">
        <f>INDEX(Master_Produk!$C$2:$C$11,MATCH(H865,Master_Produk!$A$2:$A$11,0))</f>
        <v>Elektronik</v>
      </c>
      <c r="K865" s="8">
        <f>INDEX(Master_Produk!$E$2:$E$11,MATCH(Data_Transaksi!H865,Master_Produk!$A$2:$A$11,0))</f>
        <v>1800000</v>
      </c>
      <c r="L865" s="8">
        <f t="shared" si="55"/>
        <v>1800000</v>
      </c>
      <c r="M865" s="8">
        <f>INDEX(Master_Target!$B$2:$M$4, MATCH(J865, Master_Target!$A$2:$A$4, 0), MATCH(TEXT(B865, "[$-421]mmmm"), Master_Target!$B$1:$M$1, 0))</f>
        <v>100000000</v>
      </c>
    </row>
    <row r="866" spans="1:13" x14ac:dyDescent="0.25">
      <c r="A866" s="7" t="s">
        <v>875</v>
      </c>
      <c r="B866" s="11" t="s">
        <v>1300</v>
      </c>
      <c r="C866" s="7">
        <f t="shared" si="52"/>
        <v>11</v>
      </c>
      <c r="D866" s="7" t="str">
        <f t="shared" si="53"/>
        <v>Nov</v>
      </c>
      <c r="E866" s="7" t="s">
        <v>1355</v>
      </c>
      <c r="F866" s="7" t="str">
        <f t="shared" si="54"/>
        <v>Bambang H.</v>
      </c>
      <c r="G866" s="7" t="s">
        <v>1360</v>
      </c>
      <c r="H866" s="7" t="s">
        <v>1367</v>
      </c>
      <c r="I866" s="7">
        <v>3</v>
      </c>
      <c r="J866" s="7" t="str">
        <f>INDEX(Master_Produk!$C$2:$C$11,MATCH(H866,Master_Produk!$A$2:$A$11,0))</f>
        <v>Elektronik</v>
      </c>
      <c r="K866" s="8">
        <f>INDEX(Master_Produk!$E$2:$E$11,MATCH(Data_Transaksi!H866,Master_Produk!$A$2:$A$11,0))</f>
        <v>250000</v>
      </c>
      <c r="L866" s="8">
        <f t="shared" si="55"/>
        <v>750000</v>
      </c>
      <c r="M866" s="8">
        <f>INDEX(Master_Target!$B$2:$M$4, MATCH(J866, Master_Target!$A$2:$A$4, 0), MATCH(TEXT(B866, "[$-421]mmmm"), Master_Target!$B$1:$M$1, 0))</f>
        <v>100000000</v>
      </c>
    </row>
    <row r="867" spans="1:13" x14ac:dyDescent="0.25">
      <c r="A867" s="7" t="s">
        <v>876</v>
      </c>
      <c r="B867" s="11" t="s">
        <v>1300</v>
      </c>
      <c r="C867" s="7">
        <f t="shared" si="52"/>
        <v>11</v>
      </c>
      <c r="D867" s="7" t="str">
        <f t="shared" si="53"/>
        <v>Nov</v>
      </c>
      <c r="E867" s="7" t="s">
        <v>1347</v>
      </c>
      <c r="F867" s="7" t="str">
        <f t="shared" si="54"/>
        <v>Rina Marlina</v>
      </c>
      <c r="G867" s="7" t="s">
        <v>1358</v>
      </c>
      <c r="H867" s="7" t="s">
        <v>1370</v>
      </c>
      <c r="I867" s="7">
        <v>2</v>
      </c>
      <c r="J867" s="7" t="str">
        <f>INDEX(Master_Produk!$C$2:$C$11,MATCH(H867,Master_Produk!$A$2:$A$11,0))</f>
        <v>Furnitur</v>
      </c>
      <c r="K867" s="8">
        <f>INDEX(Master_Produk!$E$2:$E$11,MATCH(Data_Transaksi!H867,Master_Produk!$A$2:$A$11,0))</f>
        <v>1200000</v>
      </c>
      <c r="L867" s="8">
        <f t="shared" si="55"/>
        <v>2400000</v>
      </c>
      <c r="M867" s="8">
        <f>INDEX(Master_Target!$B$2:$M$4, MATCH(J867, Master_Target!$A$2:$A$4, 0), MATCH(TEXT(B867, "[$-421]mmmm"), Master_Target!$B$1:$M$1, 0))</f>
        <v>40000000</v>
      </c>
    </row>
    <row r="868" spans="1:13" x14ac:dyDescent="0.25">
      <c r="A868" s="7" t="s">
        <v>877</v>
      </c>
      <c r="B868" s="11" t="s">
        <v>1301</v>
      </c>
      <c r="C868" s="7">
        <f t="shared" si="52"/>
        <v>11</v>
      </c>
      <c r="D868" s="7" t="str">
        <f t="shared" si="53"/>
        <v>Nov</v>
      </c>
      <c r="E868" s="7" t="s">
        <v>1350</v>
      </c>
      <c r="F868" s="7" t="str">
        <f t="shared" si="54"/>
        <v>Andi Wijaya</v>
      </c>
      <c r="G868" s="7" t="s">
        <v>1359</v>
      </c>
      <c r="H868" s="7" t="s">
        <v>1363</v>
      </c>
      <c r="I868" s="7">
        <v>2</v>
      </c>
      <c r="J868" s="7" t="str">
        <f>INDEX(Master_Produk!$C$2:$C$11,MATCH(H868,Master_Produk!$A$2:$A$11,0))</f>
        <v>Pakaian</v>
      </c>
      <c r="K868" s="8">
        <f>INDEX(Master_Produk!$E$2:$E$11,MATCH(Data_Transaksi!H868,Master_Produk!$A$2:$A$11,0))</f>
        <v>250000</v>
      </c>
      <c r="L868" s="8">
        <f t="shared" si="55"/>
        <v>500000</v>
      </c>
      <c r="M868" s="8">
        <f>INDEX(Master_Target!$B$2:$M$4, MATCH(J868, Master_Target!$A$2:$A$4, 0), MATCH(TEXT(B868, "[$-421]mmmm"), Master_Target!$B$1:$M$1, 0))</f>
        <v>30000000</v>
      </c>
    </row>
    <row r="869" spans="1:13" x14ac:dyDescent="0.25">
      <c r="A869" s="7" t="s">
        <v>878</v>
      </c>
      <c r="B869" s="11" t="s">
        <v>1301</v>
      </c>
      <c r="C869" s="7">
        <f t="shared" si="52"/>
        <v>11</v>
      </c>
      <c r="D869" s="7" t="str">
        <f t="shared" si="53"/>
        <v>Nov</v>
      </c>
      <c r="E869" s="7" t="s">
        <v>1349</v>
      </c>
      <c r="F869" s="7" t="str">
        <f t="shared" si="54"/>
        <v>Dewi Lestari</v>
      </c>
      <c r="G869" s="7" t="s">
        <v>1361</v>
      </c>
      <c r="H869" s="7" t="s">
        <v>1364</v>
      </c>
      <c r="I869" s="7">
        <v>1</v>
      </c>
      <c r="J869" s="7" t="str">
        <f>INDEX(Master_Produk!$C$2:$C$11,MATCH(H869,Master_Produk!$A$2:$A$11,0))</f>
        <v>Furnitur</v>
      </c>
      <c r="K869" s="8">
        <f>INDEX(Master_Produk!$E$2:$E$11,MATCH(Data_Transaksi!H869,Master_Produk!$A$2:$A$11,0))</f>
        <v>950000</v>
      </c>
      <c r="L869" s="8">
        <f t="shared" si="55"/>
        <v>950000</v>
      </c>
      <c r="M869" s="8">
        <f>INDEX(Master_Target!$B$2:$M$4, MATCH(J869, Master_Target!$A$2:$A$4, 0), MATCH(TEXT(B869, "[$-421]mmmm"), Master_Target!$B$1:$M$1, 0))</f>
        <v>40000000</v>
      </c>
    </row>
    <row r="870" spans="1:13" x14ac:dyDescent="0.25">
      <c r="A870" s="7" t="s">
        <v>879</v>
      </c>
      <c r="B870" s="11" t="s">
        <v>1301</v>
      </c>
      <c r="C870" s="7">
        <f t="shared" si="52"/>
        <v>11</v>
      </c>
      <c r="D870" s="7" t="str">
        <f t="shared" si="53"/>
        <v>Nov</v>
      </c>
      <c r="E870" s="7" t="s">
        <v>1353</v>
      </c>
      <c r="F870" s="7" t="str">
        <f t="shared" si="54"/>
        <v>Sari Yuliana</v>
      </c>
      <c r="G870" s="7" t="s">
        <v>1360</v>
      </c>
      <c r="H870" s="7" t="s">
        <v>1363</v>
      </c>
      <c r="I870" s="7">
        <v>2</v>
      </c>
      <c r="J870" s="7" t="str">
        <f>INDEX(Master_Produk!$C$2:$C$11,MATCH(H870,Master_Produk!$A$2:$A$11,0))</f>
        <v>Pakaian</v>
      </c>
      <c r="K870" s="8">
        <f>INDEX(Master_Produk!$E$2:$E$11,MATCH(Data_Transaksi!H870,Master_Produk!$A$2:$A$11,0))</f>
        <v>250000</v>
      </c>
      <c r="L870" s="8">
        <f t="shared" si="55"/>
        <v>500000</v>
      </c>
      <c r="M870" s="8">
        <f>INDEX(Master_Target!$B$2:$M$4, MATCH(J870, Master_Target!$A$2:$A$4, 0), MATCH(TEXT(B870, "[$-421]mmmm"), Master_Target!$B$1:$M$1, 0))</f>
        <v>30000000</v>
      </c>
    </row>
    <row r="871" spans="1:13" x14ac:dyDescent="0.25">
      <c r="A871" s="7" t="s">
        <v>880</v>
      </c>
      <c r="B871" s="11" t="s">
        <v>1302</v>
      </c>
      <c r="C871" s="7">
        <f t="shared" si="52"/>
        <v>11</v>
      </c>
      <c r="D871" s="7" t="str">
        <f t="shared" si="53"/>
        <v>Nov</v>
      </c>
      <c r="E871" s="7" t="s">
        <v>1350</v>
      </c>
      <c r="F871" s="7" t="str">
        <f t="shared" si="54"/>
        <v>Andi Wijaya</v>
      </c>
      <c r="G871" s="7" t="s">
        <v>1361</v>
      </c>
      <c r="H871" s="7" t="s">
        <v>1370</v>
      </c>
      <c r="I871" s="7">
        <v>2</v>
      </c>
      <c r="J871" s="7" t="str">
        <f>INDEX(Master_Produk!$C$2:$C$11,MATCH(H871,Master_Produk!$A$2:$A$11,0))</f>
        <v>Furnitur</v>
      </c>
      <c r="K871" s="8">
        <f>INDEX(Master_Produk!$E$2:$E$11,MATCH(Data_Transaksi!H871,Master_Produk!$A$2:$A$11,0))</f>
        <v>1200000</v>
      </c>
      <c r="L871" s="8">
        <f t="shared" si="55"/>
        <v>2400000</v>
      </c>
      <c r="M871" s="8">
        <f>INDEX(Master_Target!$B$2:$M$4, MATCH(J871, Master_Target!$A$2:$A$4, 0), MATCH(TEXT(B871, "[$-421]mmmm"), Master_Target!$B$1:$M$1, 0))</f>
        <v>40000000</v>
      </c>
    </row>
    <row r="872" spans="1:13" x14ac:dyDescent="0.25">
      <c r="A872" s="7" t="s">
        <v>881</v>
      </c>
      <c r="B872" s="11" t="s">
        <v>1302</v>
      </c>
      <c r="C872" s="7">
        <f t="shared" si="52"/>
        <v>11</v>
      </c>
      <c r="D872" s="7" t="str">
        <f t="shared" si="53"/>
        <v>Nov</v>
      </c>
      <c r="E872" s="7" t="s">
        <v>1354</v>
      </c>
      <c r="F872" s="7" t="str">
        <f t="shared" si="54"/>
        <v>Mega Utami</v>
      </c>
      <c r="G872" s="7" t="s">
        <v>1360</v>
      </c>
      <c r="H872" s="7" t="s">
        <v>1365</v>
      </c>
      <c r="I872" s="7">
        <v>2</v>
      </c>
      <c r="J872" s="7" t="str">
        <f>INDEX(Master_Produk!$C$2:$C$11,MATCH(H872,Master_Produk!$A$2:$A$11,0))</f>
        <v>Elektronik</v>
      </c>
      <c r="K872" s="8">
        <f>INDEX(Master_Produk!$E$2:$E$11,MATCH(Data_Transaksi!H872,Master_Produk!$A$2:$A$11,0))</f>
        <v>1800000</v>
      </c>
      <c r="L872" s="8">
        <f t="shared" si="55"/>
        <v>3600000</v>
      </c>
      <c r="M872" s="8">
        <f>INDEX(Master_Target!$B$2:$M$4, MATCH(J872, Master_Target!$A$2:$A$4, 0), MATCH(TEXT(B872, "[$-421]mmmm"), Master_Target!$B$1:$M$1, 0))</f>
        <v>100000000</v>
      </c>
    </row>
    <row r="873" spans="1:13" x14ac:dyDescent="0.25">
      <c r="A873" s="7" t="s">
        <v>882</v>
      </c>
      <c r="B873" s="11" t="s">
        <v>1302</v>
      </c>
      <c r="C873" s="7">
        <f t="shared" si="52"/>
        <v>11</v>
      </c>
      <c r="D873" s="7" t="str">
        <f t="shared" si="53"/>
        <v>Nov</v>
      </c>
      <c r="E873" s="7" t="s">
        <v>1347</v>
      </c>
      <c r="F873" s="7" t="str">
        <f t="shared" si="54"/>
        <v>Rina Marlina</v>
      </c>
      <c r="G873" s="7" t="s">
        <v>1357</v>
      </c>
      <c r="H873" s="7" t="s">
        <v>1365</v>
      </c>
      <c r="I873" s="7">
        <v>1</v>
      </c>
      <c r="J873" s="7" t="str">
        <f>INDEX(Master_Produk!$C$2:$C$11,MATCH(H873,Master_Produk!$A$2:$A$11,0))</f>
        <v>Elektronik</v>
      </c>
      <c r="K873" s="8">
        <f>INDEX(Master_Produk!$E$2:$E$11,MATCH(Data_Transaksi!H873,Master_Produk!$A$2:$A$11,0))</f>
        <v>1800000</v>
      </c>
      <c r="L873" s="8">
        <f t="shared" si="55"/>
        <v>1800000</v>
      </c>
      <c r="M873" s="8">
        <f>INDEX(Master_Target!$B$2:$M$4, MATCH(J873, Master_Target!$A$2:$A$4, 0), MATCH(TEXT(B873, "[$-421]mmmm"), Master_Target!$B$1:$M$1, 0))</f>
        <v>100000000</v>
      </c>
    </row>
    <row r="874" spans="1:13" x14ac:dyDescent="0.25">
      <c r="A874" s="7" t="s">
        <v>883</v>
      </c>
      <c r="B874" s="11" t="s">
        <v>1302</v>
      </c>
      <c r="C874" s="7">
        <f t="shared" si="52"/>
        <v>11</v>
      </c>
      <c r="D874" s="7" t="str">
        <f t="shared" si="53"/>
        <v>Nov</v>
      </c>
      <c r="E874" s="7" t="s">
        <v>1352</v>
      </c>
      <c r="F874" s="7" t="str">
        <f t="shared" si="54"/>
        <v>Ahmad Fauzi</v>
      </c>
      <c r="G874" s="7" t="s">
        <v>1357</v>
      </c>
      <c r="H874" s="7" t="s">
        <v>1369</v>
      </c>
      <c r="I874" s="7">
        <v>3</v>
      </c>
      <c r="J874" s="7" t="str">
        <f>INDEX(Master_Produk!$C$2:$C$11,MATCH(H874,Master_Produk!$A$2:$A$11,0))</f>
        <v>Elektronik</v>
      </c>
      <c r="K874" s="8">
        <f>INDEX(Master_Produk!$E$2:$E$11,MATCH(Data_Transaksi!H874,Master_Produk!$A$2:$A$11,0))</f>
        <v>4500000</v>
      </c>
      <c r="L874" s="8">
        <f t="shared" si="55"/>
        <v>13500000</v>
      </c>
      <c r="M874" s="8">
        <f>INDEX(Master_Target!$B$2:$M$4, MATCH(J874, Master_Target!$A$2:$A$4, 0), MATCH(TEXT(B874, "[$-421]mmmm"), Master_Target!$B$1:$M$1, 0))</f>
        <v>100000000</v>
      </c>
    </row>
    <row r="875" spans="1:13" x14ac:dyDescent="0.25">
      <c r="A875" s="7" t="s">
        <v>884</v>
      </c>
      <c r="B875" s="11" t="s">
        <v>1303</v>
      </c>
      <c r="C875" s="7">
        <f t="shared" si="52"/>
        <v>11</v>
      </c>
      <c r="D875" s="7" t="str">
        <f t="shared" si="53"/>
        <v>Nov</v>
      </c>
      <c r="E875" s="7" t="s">
        <v>1350</v>
      </c>
      <c r="F875" s="7" t="str">
        <f t="shared" si="54"/>
        <v>Andi Wijaya</v>
      </c>
      <c r="G875" s="7" t="s">
        <v>1359</v>
      </c>
      <c r="H875" s="7" t="s">
        <v>1367</v>
      </c>
      <c r="I875" s="7">
        <v>4</v>
      </c>
      <c r="J875" s="7" t="str">
        <f>INDEX(Master_Produk!$C$2:$C$11,MATCH(H875,Master_Produk!$A$2:$A$11,0))</f>
        <v>Elektronik</v>
      </c>
      <c r="K875" s="8">
        <f>INDEX(Master_Produk!$E$2:$E$11,MATCH(Data_Transaksi!H875,Master_Produk!$A$2:$A$11,0))</f>
        <v>250000</v>
      </c>
      <c r="L875" s="8">
        <f t="shared" si="55"/>
        <v>1000000</v>
      </c>
      <c r="M875" s="8">
        <f>INDEX(Master_Target!$B$2:$M$4, MATCH(J875, Master_Target!$A$2:$A$4, 0), MATCH(TEXT(B875, "[$-421]mmmm"), Master_Target!$B$1:$M$1, 0))</f>
        <v>100000000</v>
      </c>
    </row>
    <row r="876" spans="1:13" x14ac:dyDescent="0.25">
      <c r="A876" s="7" t="s">
        <v>885</v>
      </c>
      <c r="B876" s="11" t="s">
        <v>1303</v>
      </c>
      <c r="C876" s="7">
        <f t="shared" si="52"/>
        <v>11</v>
      </c>
      <c r="D876" s="7" t="str">
        <f t="shared" si="53"/>
        <v>Nov</v>
      </c>
      <c r="E876" s="7" t="s">
        <v>1351</v>
      </c>
      <c r="F876" s="7" t="str">
        <f t="shared" si="54"/>
        <v>Siti Rahma</v>
      </c>
      <c r="G876" s="7" t="s">
        <v>1358</v>
      </c>
      <c r="H876" s="7" t="s">
        <v>1362</v>
      </c>
      <c r="I876" s="7">
        <v>1</v>
      </c>
      <c r="J876" s="7" t="str">
        <f>INDEX(Master_Produk!$C$2:$C$11,MATCH(H876,Master_Produk!$A$2:$A$11,0))</f>
        <v>Pakaian</v>
      </c>
      <c r="K876" s="8">
        <f>INDEX(Master_Produk!$E$2:$E$11,MATCH(Data_Transaksi!H876,Master_Produk!$A$2:$A$11,0))</f>
        <v>350000</v>
      </c>
      <c r="L876" s="8">
        <f t="shared" si="55"/>
        <v>350000</v>
      </c>
      <c r="M876" s="8">
        <f>INDEX(Master_Target!$B$2:$M$4, MATCH(J876, Master_Target!$A$2:$A$4, 0), MATCH(TEXT(B876, "[$-421]mmmm"), Master_Target!$B$1:$M$1, 0))</f>
        <v>30000000</v>
      </c>
    </row>
    <row r="877" spans="1:13" x14ac:dyDescent="0.25">
      <c r="A877" s="7" t="s">
        <v>886</v>
      </c>
      <c r="B877" s="11" t="s">
        <v>1303</v>
      </c>
      <c r="C877" s="7">
        <f t="shared" si="52"/>
        <v>11</v>
      </c>
      <c r="D877" s="7" t="str">
        <f t="shared" si="53"/>
        <v>Nov</v>
      </c>
      <c r="E877" s="7" t="s">
        <v>1349</v>
      </c>
      <c r="F877" s="7" t="str">
        <f t="shared" si="54"/>
        <v>Dewi Lestari</v>
      </c>
      <c r="G877" s="7" t="s">
        <v>1361</v>
      </c>
      <c r="H877" s="7" t="s">
        <v>1367</v>
      </c>
      <c r="I877" s="7">
        <v>1</v>
      </c>
      <c r="J877" s="7" t="str">
        <f>INDEX(Master_Produk!$C$2:$C$11,MATCH(H877,Master_Produk!$A$2:$A$11,0))</f>
        <v>Elektronik</v>
      </c>
      <c r="K877" s="8">
        <f>INDEX(Master_Produk!$E$2:$E$11,MATCH(Data_Transaksi!H877,Master_Produk!$A$2:$A$11,0))</f>
        <v>250000</v>
      </c>
      <c r="L877" s="8">
        <f t="shared" si="55"/>
        <v>250000</v>
      </c>
      <c r="M877" s="8">
        <f>INDEX(Master_Target!$B$2:$M$4, MATCH(J877, Master_Target!$A$2:$A$4, 0), MATCH(TEXT(B877, "[$-421]mmmm"), Master_Target!$B$1:$M$1, 0))</f>
        <v>100000000</v>
      </c>
    </row>
    <row r="878" spans="1:13" x14ac:dyDescent="0.25">
      <c r="A878" s="7" t="s">
        <v>887</v>
      </c>
      <c r="B878" s="11" t="s">
        <v>1303</v>
      </c>
      <c r="C878" s="7">
        <f t="shared" si="52"/>
        <v>11</v>
      </c>
      <c r="D878" s="7" t="str">
        <f t="shared" si="53"/>
        <v>Nov</v>
      </c>
      <c r="E878" s="7" t="s">
        <v>1351</v>
      </c>
      <c r="F878" s="7" t="str">
        <f t="shared" si="54"/>
        <v>Siti Rahma</v>
      </c>
      <c r="G878" s="7" t="s">
        <v>1358</v>
      </c>
      <c r="H878" s="7" t="s">
        <v>1362</v>
      </c>
      <c r="I878" s="7">
        <v>1</v>
      </c>
      <c r="J878" s="7" t="str">
        <f>INDEX(Master_Produk!$C$2:$C$11,MATCH(H878,Master_Produk!$A$2:$A$11,0))</f>
        <v>Pakaian</v>
      </c>
      <c r="K878" s="8">
        <f>INDEX(Master_Produk!$E$2:$E$11,MATCH(Data_Transaksi!H878,Master_Produk!$A$2:$A$11,0))</f>
        <v>350000</v>
      </c>
      <c r="L878" s="8">
        <f t="shared" si="55"/>
        <v>350000</v>
      </c>
      <c r="M878" s="8">
        <f>INDEX(Master_Target!$B$2:$M$4, MATCH(J878, Master_Target!$A$2:$A$4, 0), MATCH(TEXT(B878, "[$-421]mmmm"), Master_Target!$B$1:$M$1, 0))</f>
        <v>30000000</v>
      </c>
    </row>
    <row r="879" spans="1:13" x14ac:dyDescent="0.25">
      <c r="A879" s="7" t="s">
        <v>888</v>
      </c>
      <c r="B879" s="11" t="s">
        <v>1304</v>
      </c>
      <c r="C879" s="7">
        <f t="shared" si="52"/>
        <v>11</v>
      </c>
      <c r="D879" s="7" t="str">
        <f t="shared" si="53"/>
        <v>Nov</v>
      </c>
      <c r="E879" s="7" t="s">
        <v>1347</v>
      </c>
      <c r="F879" s="7" t="str">
        <f t="shared" si="54"/>
        <v>Rina Marlina</v>
      </c>
      <c r="G879" s="7" t="s">
        <v>1360</v>
      </c>
      <c r="H879" s="7" t="s">
        <v>1365</v>
      </c>
      <c r="I879" s="7">
        <v>2</v>
      </c>
      <c r="J879" s="7" t="str">
        <f>INDEX(Master_Produk!$C$2:$C$11,MATCH(H879,Master_Produk!$A$2:$A$11,0))</f>
        <v>Elektronik</v>
      </c>
      <c r="K879" s="8">
        <f>INDEX(Master_Produk!$E$2:$E$11,MATCH(Data_Transaksi!H879,Master_Produk!$A$2:$A$11,0))</f>
        <v>1800000</v>
      </c>
      <c r="L879" s="8">
        <f t="shared" si="55"/>
        <v>3600000</v>
      </c>
      <c r="M879" s="8">
        <f>INDEX(Master_Target!$B$2:$M$4, MATCH(J879, Master_Target!$A$2:$A$4, 0), MATCH(TEXT(B879, "[$-421]mmmm"), Master_Target!$B$1:$M$1, 0))</f>
        <v>100000000</v>
      </c>
    </row>
    <row r="880" spans="1:13" x14ac:dyDescent="0.25">
      <c r="A880" s="7" t="s">
        <v>889</v>
      </c>
      <c r="B880" s="11" t="s">
        <v>1304</v>
      </c>
      <c r="C880" s="7">
        <f t="shared" si="52"/>
        <v>11</v>
      </c>
      <c r="D880" s="7" t="str">
        <f t="shared" si="53"/>
        <v>Nov</v>
      </c>
      <c r="E880" s="7" t="s">
        <v>1348</v>
      </c>
      <c r="F880" s="7" t="str">
        <f t="shared" si="54"/>
        <v>Budi Santoso</v>
      </c>
      <c r="G880" s="7" t="s">
        <v>1359</v>
      </c>
      <c r="H880" s="7" t="s">
        <v>1368</v>
      </c>
      <c r="I880" s="7">
        <v>2</v>
      </c>
      <c r="J880" s="7" t="str">
        <f>INDEX(Master_Produk!$C$2:$C$11,MATCH(H880,Master_Produk!$A$2:$A$11,0))</f>
        <v>Furnitur</v>
      </c>
      <c r="K880" s="8">
        <f>INDEX(Master_Produk!$E$2:$E$11,MATCH(Data_Transaksi!H880,Master_Produk!$A$2:$A$11,0))</f>
        <v>650000</v>
      </c>
      <c r="L880" s="8">
        <f t="shared" si="55"/>
        <v>1300000</v>
      </c>
      <c r="M880" s="8">
        <f>INDEX(Master_Target!$B$2:$M$4, MATCH(J880, Master_Target!$A$2:$A$4, 0), MATCH(TEXT(B880, "[$-421]mmmm"), Master_Target!$B$1:$M$1, 0))</f>
        <v>40000000</v>
      </c>
    </row>
    <row r="881" spans="1:13" x14ac:dyDescent="0.25">
      <c r="A881" s="7" t="s">
        <v>890</v>
      </c>
      <c r="B881" s="11" t="s">
        <v>1305</v>
      </c>
      <c r="C881" s="7">
        <f t="shared" si="52"/>
        <v>11</v>
      </c>
      <c r="D881" s="7" t="str">
        <f t="shared" si="53"/>
        <v>Nov</v>
      </c>
      <c r="E881" s="7" t="s">
        <v>1351</v>
      </c>
      <c r="F881" s="7" t="str">
        <f t="shared" si="54"/>
        <v>Siti Rahma</v>
      </c>
      <c r="G881" s="7" t="s">
        <v>1357</v>
      </c>
      <c r="H881" s="7" t="s">
        <v>1368</v>
      </c>
      <c r="I881" s="7">
        <v>2</v>
      </c>
      <c r="J881" s="7" t="str">
        <f>INDEX(Master_Produk!$C$2:$C$11,MATCH(H881,Master_Produk!$A$2:$A$11,0))</f>
        <v>Furnitur</v>
      </c>
      <c r="K881" s="8">
        <f>INDEX(Master_Produk!$E$2:$E$11,MATCH(Data_Transaksi!H881,Master_Produk!$A$2:$A$11,0))</f>
        <v>650000</v>
      </c>
      <c r="L881" s="8">
        <f t="shared" si="55"/>
        <v>1300000</v>
      </c>
      <c r="M881" s="8">
        <f>INDEX(Master_Target!$B$2:$M$4, MATCH(J881, Master_Target!$A$2:$A$4, 0), MATCH(TEXT(B881, "[$-421]mmmm"), Master_Target!$B$1:$M$1, 0))</f>
        <v>40000000</v>
      </c>
    </row>
    <row r="882" spans="1:13" x14ac:dyDescent="0.25">
      <c r="A882" s="7" t="s">
        <v>891</v>
      </c>
      <c r="B882" s="11" t="s">
        <v>1305</v>
      </c>
      <c r="C882" s="7">
        <f t="shared" si="52"/>
        <v>11</v>
      </c>
      <c r="D882" s="7" t="str">
        <f t="shared" si="53"/>
        <v>Nov</v>
      </c>
      <c r="E882" s="7" t="s">
        <v>1349</v>
      </c>
      <c r="F882" s="7" t="str">
        <f t="shared" si="54"/>
        <v>Dewi Lestari</v>
      </c>
      <c r="G882" s="7" t="s">
        <v>1357</v>
      </c>
      <c r="H882" s="7" t="s">
        <v>1365</v>
      </c>
      <c r="I882" s="7">
        <v>1</v>
      </c>
      <c r="J882" s="7" t="str">
        <f>INDEX(Master_Produk!$C$2:$C$11,MATCH(H882,Master_Produk!$A$2:$A$11,0))</f>
        <v>Elektronik</v>
      </c>
      <c r="K882" s="8">
        <f>INDEX(Master_Produk!$E$2:$E$11,MATCH(Data_Transaksi!H882,Master_Produk!$A$2:$A$11,0))</f>
        <v>1800000</v>
      </c>
      <c r="L882" s="8">
        <f t="shared" si="55"/>
        <v>1800000</v>
      </c>
      <c r="M882" s="8">
        <f>INDEX(Master_Target!$B$2:$M$4, MATCH(J882, Master_Target!$A$2:$A$4, 0), MATCH(TEXT(B882, "[$-421]mmmm"), Master_Target!$B$1:$M$1, 0))</f>
        <v>100000000</v>
      </c>
    </row>
    <row r="883" spans="1:13" x14ac:dyDescent="0.25">
      <c r="A883" s="7" t="s">
        <v>892</v>
      </c>
      <c r="B883" s="11" t="s">
        <v>1305</v>
      </c>
      <c r="C883" s="7">
        <f t="shared" si="52"/>
        <v>11</v>
      </c>
      <c r="D883" s="7" t="str">
        <f t="shared" si="53"/>
        <v>Nov</v>
      </c>
      <c r="E883" s="7" t="s">
        <v>1353</v>
      </c>
      <c r="F883" s="7" t="str">
        <f t="shared" si="54"/>
        <v>Sari Yuliana</v>
      </c>
      <c r="G883" s="7" t="s">
        <v>1359</v>
      </c>
      <c r="H883" s="7" t="s">
        <v>1368</v>
      </c>
      <c r="I883" s="7">
        <v>1</v>
      </c>
      <c r="J883" s="7" t="str">
        <f>INDEX(Master_Produk!$C$2:$C$11,MATCH(H883,Master_Produk!$A$2:$A$11,0))</f>
        <v>Furnitur</v>
      </c>
      <c r="K883" s="8">
        <f>INDEX(Master_Produk!$E$2:$E$11,MATCH(Data_Transaksi!H883,Master_Produk!$A$2:$A$11,0))</f>
        <v>650000</v>
      </c>
      <c r="L883" s="8">
        <f t="shared" si="55"/>
        <v>650000</v>
      </c>
      <c r="M883" s="8">
        <f>INDEX(Master_Target!$B$2:$M$4, MATCH(J883, Master_Target!$A$2:$A$4, 0), MATCH(TEXT(B883, "[$-421]mmmm"), Master_Target!$B$1:$M$1, 0))</f>
        <v>40000000</v>
      </c>
    </row>
    <row r="884" spans="1:13" x14ac:dyDescent="0.25">
      <c r="A884" s="7" t="s">
        <v>893</v>
      </c>
      <c r="B884" s="11" t="s">
        <v>1306</v>
      </c>
      <c r="C884" s="7">
        <f t="shared" si="52"/>
        <v>11</v>
      </c>
      <c r="D884" s="7" t="str">
        <f t="shared" si="53"/>
        <v>Nov</v>
      </c>
      <c r="E884" s="7" t="s">
        <v>1353</v>
      </c>
      <c r="F884" s="7" t="str">
        <f t="shared" si="54"/>
        <v>Sari Yuliana</v>
      </c>
      <c r="G884" s="7" t="s">
        <v>1361</v>
      </c>
      <c r="H884" s="7" t="s">
        <v>1366</v>
      </c>
      <c r="I884" s="7">
        <v>2</v>
      </c>
      <c r="J884" s="7" t="str">
        <f>INDEX(Master_Produk!$C$2:$C$11,MATCH(H884,Master_Produk!$A$2:$A$11,0))</f>
        <v>Elektronik</v>
      </c>
      <c r="K884" s="8">
        <f>INDEX(Master_Produk!$E$2:$E$11,MATCH(Data_Transaksi!H884,Master_Produk!$A$2:$A$11,0))</f>
        <v>7500000</v>
      </c>
      <c r="L884" s="8">
        <f t="shared" si="55"/>
        <v>15000000</v>
      </c>
      <c r="M884" s="8">
        <f>INDEX(Master_Target!$B$2:$M$4, MATCH(J884, Master_Target!$A$2:$A$4, 0), MATCH(TEXT(B884, "[$-421]mmmm"), Master_Target!$B$1:$M$1, 0))</f>
        <v>100000000</v>
      </c>
    </row>
    <row r="885" spans="1:13" x14ac:dyDescent="0.25">
      <c r="A885" s="7" t="s">
        <v>894</v>
      </c>
      <c r="B885" s="11" t="s">
        <v>1306</v>
      </c>
      <c r="C885" s="7">
        <f t="shared" si="52"/>
        <v>11</v>
      </c>
      <c r="D885" s="7" t="str">
        <f t="shared" si="53"/>
        <v>Nov</v>
      </c>
      <c r="E885" s="7" t="s">
        <v>1349</v>
      </c>
      <c r="F885" s="7" t="str">
        <f t="shared" si="54"/>
        <v>Dewi Lestari</v>
      </c>
      <c r="G885" s="7" t="s">
        <v>1358</v>
      </c>
      <c r="H885" s="7" t="s">
        <v>1371</v>
      </c>
      <c r="I885" s="7">
        <v>2</v>
      </c>
      <c r="J885" s="7" t="str">
        <f>INDEX(Master_Produk!$C$2:$C$11,MATCH(H885,Master_Produk!$A$2:$A$11,0))</f>
        <v>Pakaian</v>
      </c>
      <c r="K885" s="8">
        <f>INDEX(Master_Produk!$E$2:$E$11,MATCH(Data_Transaksi!H885,Master_Produk!$A$2:$A$11,0))</f>
        <v>280000</v>
      </c>
      <c r="L885" s="8">
        <f t="shared" si="55"/>
        <v>560000</v>
      </c>
      <c r="M885" s="8">
        <f>INDEX(Master_Target!$B$2:$M$4, MATCH(J885, Master_Target!$A$2:$A$4, 0), MATCH(TEXT(B885, "[$-421]mmmm"), Master_Target!$B$1:$M$1, 0))</f>
        <v>30000000</v>
      </c>
    </row>
    <row r="886" spans="1:13" x14ac:dyDescent="0.25">
      <c r="A886" s="7" t="s">
        <v>895</v>
      </c>
      <c r="B886" s="11" t="s">
        <v>1307</v>
      </c>
      <c r="C886" s="7">
        <f t="shared" si="52"/>
        <v>11</v>
      </c>
      <c r="D886" s="7" t="str">
        <f t="shared" si="53"/>
        <v>Nov</v>
      </c>
      <c r="E886" s="7" t="s">
        <v>1355</v>
      </c>
      <c r="F886" s="7" t="str">
        <f t="shared" si="54"/>
        <v>Bambang H.</v>
      </c>
      <c r="G886" s="7" t="s">
        <v>1360</v>
      </c>
      <c r="H886" s="7" t="s">
        <v>1368</v>
      </c>
      <c r="I886" s="7">
        <v>10</v>
      </c>
      <c r="J886" s="7" t="str">
        <f>INDEX(Master_Produk!$C$2:$C$11,MATCH(H886,Master_Produk!$A$2:$A$11,0))</f>
        <v>Furnitur</v>
      </c>
      <c r="K886" s="8">
        <f>INDEX(Master_Produk!$E$2:$E$11,MATCH(Data_Transaksi!H886,Master_Produk!$A$2:$A$11,0))</f>
        <v>650000</v>
      </c>
      <c r="L886" s="8">
        <f t="shared" si="55"/>
        <v>6500000</v>
      </c>
      <c r="M886" s="8">
        <f>INDEX(Master_Target!$B$2:$M$4, MATCH(J886, Master_Target!$A$2:$A$4, 0), MATCH(TEXT(B886, "[$-421]mmmm"), Master_Target!$B$1:$M$1, 0))</f>
        <v>40000000</v>
      </c>
    </row>
    <row r="887" spans="1:13" x14ac:dyDescent="0.25">
      <c r="A887" s="7" t="s">
        <v>896</v>
      </c>
      <c r="B887" s="11" t="s">
        <v>1307</v>
      </c>
      <c r="C887" s="7">
        <f t="shared" si="52"/>
        <v>11</v>
      </c>
      <c r="D887" s="7" t="str">
        <f t="shared" si="53"/>
        <v>Nov</v>
      </c>
      <c r="E887" s="7" t="s">
        <v>1347</v>
      </c>
      <c r="F887" s="7" t="str">
        <f t="shared" si="54"/>
        <v>Rina Marlina</v>
      </c>
      <c r="G887" s="7" t="s">
        <v>1358</v>
      </c>
      <c r="H887" s="7" t="s">
        <v>1362</v>
      </c>
      <c r="I887" s="7">
        <v>1</v>
      </c>
      <c r="J887" s="7" t="str">
        <f>INDEX(Master_Produk!$C$2:$C$11,MATCH(H887,Master_Produk!$A$2:$A$11,0))</f>
        <v>Pakaian</v>
      </c>
      <c r="K887" s="8">
        <f>INDEX(Master_Produk!$E$2:$E$11,MATCH(Data_Transaksi!H887,Master_Produk!$A$2:$A$11,0))</f>
        <v>350000</v>
      </c>
      <c r="L887" s="8">
        <f t="shared" si="55"/>
        <v>350000</v>
      </c>
      <c r="M887" s="8">
        <f>INDEX(Master_Target!$B$2:$M$4, MATCH(J887, Master_Target!$A$2:$A$4, 0), MATCH(TEXT(B887, "[$-421]mmmm"), Master_Target!$B$1:$M$1, 0))</f>
        <v>30000000</v>
      </c>
    </row>
    <row r="888" spans="1:13" x14ac:dyDescent="0.25">
      <c r="A888" s="7" t="s">
        <v>897</v>
      </c>
      <c r="B888" s="11" t="s">
        <v>1308</v>
      </c>
      <c r="C888" s="7">
        <f t="shared" si="52"/>
        <v>11</v>
      </c>
      <c r="D888" s="7" t="str">
        <f t="shared" si="53"/>
        <v>Nov</v>
      </c>
      <c r="E888" s="7" t="s">
        <v>1355</v>
      </c>
      <c r="F888" s="7" t="str">
        <f t="shared" si="54"/>
        <v>Bambang H.</v>
      </c>
      <c r="G888" s="7" t="s">
        <v>1357</v>
      </c>
      <c r="H888" s="7" t="s">
        <v>1369</v>
      </c>
      <c r="I888" s="7">
        <v>2</v>
      </c>
      <c r="J888" s="7" t="str">
        <f>INDEX(Master_Produk!$C$2:$C$11,MATCH(H888,Master_Produk!$A$2:$A$11,0))</f>
        <v>Elektronik</v>
      </c>
      <c r="K888" s="8">
        <f>INDEX(Master_Produk!$E$2:$E$11,MATCH(Data_Transaksi!H888,Master_Produk!$A$2:$A$11,0))</f>
        <v>4500000</v>
      </c>
      <c r="L888" s="8">
        <f t="shared" si="55"/>
        <v>9000000</v>
      </c>
      <c r="M888" s="8">
        <f>INDEX(Master_Target!$B$2:$M$4, MATCH(J888, Master_Target!$A$2:$A$4, 0), MATCH(TEXT(B888, "[$-421]mmmm"), Master_Target!$B$1:$M$1, 0))</f>
        <v>100000000</v>
      </c>
    </row>
    <row r="889" spans="1:13" x14ac:dyDescent="0.25">
      <c r="A889" s="7" t="s">
        <v>898</v>
      </c>
      <c r="B889" s="11" t="s">
        <v>1308</v>
      </c>
      <c r="C889" s="7">
        <f t="shared" si="52"/>
        <v>11</v>
      </c>
      <c r="D889" s="7" t="str">
        <f t="shared" si="53"/>
        <v>Nov</v>
      </c>
      <c r="E889" s="7" t="s">
        <v>1349</v>
      </c>
      <c r="F889" s="7" t="str">
        <f t="shared" si="54"/>
        <v>Dewi Lestari</v>
      </c>
      <c r="G889" s="7" t="s">
        <v>1359</v>
      </c>
      <c r="H889" s="7" t="s">
        <v>1369</v>
      </c>
      <c r="I889" s="7">
        <v>2</v>
      </c>
      <c r="J889" s="7" t="str">
        <f>INDEX(Master_Produk!$C$2:$C$11,MATCH(H889,Master_Produk!$A$2:$A$11,0))</f>
        <v>Elektronik</v>
      </c>
      <c r="K889" s="8">
        <f>INDEX(Master_Produk!$E$2:$E$11,MATCH(Data_Transaksi!H889,Master_Produk!$A$2:$A$11,0))</f>
        <v>4500000</v>
      </c>
      <c r="L889" s="8">
        <f t="shared" si="55"/>
        <v>9000000</v>
      </c>
      <c r="M889" s="8">
        <f>INDEX(Master_Target!$B$2:$M$4, MATCH(J889, Master_Target!$A$2:$A$4, 0), MATCH(TEXT(B889, "[$-421]mmmm"), Master_Target!$B$1:$M$1, 0))</f>
        <v>100000000</v>
      </c>
    </row>
    <row r="890" spans="1:13" x14ac:dyDescent="0.25">
      <c r="A890" s="7" t="s">
        <v>899</v>
      </c>
      <c r="B890" s="11" t="s">
        <v>1308</v>
      </c>
      <c r="C890" s="7">
        <f t="shared" si="52"/>
        <v>11</v>
      </c>
      <c r="D890" s="7" t="str">
        <f t="shared" si="53"/>
        <v>Nov</v>
      </c>
      <c r="E890" s="7" t="s">
        <v>1354</v>
      </c>
      <c r="F890" s="7" t="str">
        <f t="shared" si="54"/>
        <v>Mega Utami</v>
      </c>
      <c r="G890" s="7" t="s">
        <v>1357</v>
      </c>
      <c r="H890" s="7" t="s">
        <v>1364</v>
      </c>
      <c r="I890" s="7">
        <v>2</v>
      </c>
      <c r="J890" s="7" t="str">
        <f>INDEX(Master_Produk!$C$2:$C$11,MATCH(H890,Master_Produk!$A$2:$A$11,0))</f>
        <v>Furnitur</v>
      </c>
      <c r="K890" s="8">
        <f>INDEX(Master_Produk!$E$2:$E$11,MATCH(Data_Transaksi!H890,Master_Produk!$A$2:$A$11,0))</f>
        <v>950000</v>
      </c>
      <c r="L890" s="8">
        <f t="shared" si="55"/>
        <v>1900000</v>
      </c>
      <c r="M890" s="8">
        <f>INDEX(Master_Target!$B$2:$M$4, MATCH(J890, Master_Target!$A$2:$A$4, 0), MATCH(TEXT(B890, "[$-421]mmmm"), Master_Target!$B$1:$M$1, 0))</f>
        <v>40000000</v>
      </c>
    </row>
    <row r="891" spans="1:13" x14ac:dyDescent="0.25">
      <c r="A891" s="7" t="s">
        <v>900</v>
      </c>
      <c r="B891" s="11" t="s">
        <v>1309</v>
      </c>
      <c r="C891" s="7">
        <f t="shared" si="52"/>
        <v>11</v>
      </c>
      <c r="D891" s="7" t="str">
        <f t="shared" si="53"/>
        <v>Nov</v>
      </c>
      <c r="E891" s="7" t="s">
        <v>1349</v>
      </c>
      <c r="F891" s="7" t="str">
        <f t="shared" si="54"/>
        <v>Dewi Lestari</v>
      </c>
      <c r="G891" s="7" t="s">
        <v>1357</v>
      </c>
      <c r="H891" s="7" t="s">
        <v>1371</v>
      </c>
      <c r="I891" s="7">
        <v>3</v>
      </c>
      <c r="J891" s="7" t="str">
        <f>INDEX(Master_Produk!$C$2:$C$11,MATCH(H891,Master_Produk!$A$2:$A$11,0))</f>
        <v>Pakaian</v>
      </c>
      <c r="K891" s="8">
        <f>INDEX(Master_Produk!$E$2:$E$11,MATCH(Data_Transaksi!H891,Master_Produk!$A$2:$A$11,0))</f>
        <v>280000</v>
      </c>
      <c r="L891" s="8">
        <f t="shared" si="55"/>
        <v>840000</v>
      </c>
      <c r="M891" s="8">
        <f>INDEX(Master_Target!$B$2:$M$4, MATCH(J891, Master_Target!$A$2:$A$4, 0), MATCH(TEXT(B891, "[$-421]mmmm"), Master_Target!$B$1:$M$1, 0))</f>
        <v>30000000</v>
      </c>
    </row>
    <row r="892" spans="1:13" x14ac:dyDescent="0.25">
      <c r="A892" s="7" t="s">
        <v>901</v>
      </c>
      <c r="B892" s="11" t="s">
        <v>1309</v>
      </c>
      <c r="C892" s="7">
        <f t="shared" si="52"/>
        <v>11</v>
      </c>
      <c r="D892" s="7" t="str">
        <f t="shared" si="53"/>
        <v>Nov</v>
      </c>
      <c r="E892" s="7" t="s">
        <v>1352</v>
      </c>
      <c r="F892" s="7" t="str">
        <f t="shared" si="54"/>
        <v>Ahmad Fauzi</v>
      </c>
      <c r="G892" s="7" t="s">
        <v>1360</v>
      </c>
      <c r="H892" s="7" t="s">
        <v>1370</v>
      </c>
      <c r="I892" s="7">
        <v>2</v>
      </c>
      <c r="J892" s="7" t="str">
        <f>INDEX(Master_Produk!$C$2:$C$11,MATCH(H892,Master_Produk!$A$2:$A$11,0))</f>
        <v>Furnitur</v>
      </c>
      <c r="K892" s="8">
        <f>INDEX(Master_Produk!$E$2:$E$11,MATCH(Data_Transaksi!H892,Master_Produk!$A$2:$A$11,0))</f>
        <v>1200000</v>
      </c>
      <c r="L892" s="8">
        <f t="shared" si="55"/>
        <v>2400000</v>
      </c>
      <c r="M892" s="8">
        <f>INDEX(Master_Target!$B$2:$M$4, MATCH(J892, Master_Target!$A$2:$A$4, 0), MATCH(TEXT(B892, "[$-421]mmmm"), Master_Target!$B$1:$M$1, 0))</f>
        <v>40000000</v>
      </c>
    </row>
    <row r="893" spans="1:13" x14ac:dyDescent="0.25">
      <c r="A893" s="7" t="s">
        <v>902</v>
      </c>
      <c r="B893" s="11" t="s">
        <v>1310</v>
      </c>
      <c r="C893" s="7">
        <f t="shared" si="52"/>
        <v>11</v>
      </c>
      <c r="D893" s="7" t="str">
        <f t="shared" si="53"/>
        <v>Nov</v>
      </c>
      <c r="E893" s="7" t="s">
        <v>1352</v>
      </c>
      <c r="F893" s="7" t="str">
        <f t="shared" si="54"/>
        <v>Ahmad Fauzi</v>
      </c>
      <c r="G893" s="7" t="s">
        <v>1361</v>
      </c>
      <c r="H893" s="7" t="s">
        <v>1362</v>
      </c>
      <c r="I893" s="7">
        <v>10</v>
      </c>
      <c r="J893" s="7" t="str">
        <f>INDEX(Master_Produk!$C$2:$C$11,MATCH(H893,Master_Produk!$A$2:$A$11,0))</f>
        <v>Pakaian</v>
      </c>
      <c r="K893" s="8">
        <f>INDEX(Master_Produk!$E$2:$E$11,MATCH(Data_Transaksi!H893,Master_Produk!$A$2:$A$11,0))</f>
        <v>350000</v>
      </c>
      <c r="L893" s="8">
        <f t="shared" si="55"/>
        <v>3500000</v>
      </c>
      <c r="M893" s="8">
        <f>INDEX(Master_Target!$B$2:$M$4, MATCH(J893, Master_Target!$A$2:$A$4, 0), MATCH(TEXT(B893, "[$-421]mmmm"), Master_Target!$B$1:$M$1, 0))</f>
        <v>30000000</v>
      </c>
    </row>
    <row r="894" spans="1:13" x14ac:dyDescent="0.25">
      <c r="A894" s="7" t="s">
        <v>903</v>
      </c>
      <c r="B894" s="11" t="s">
        <v>1310</v>
      </c>
      <c r="C894" s="7">
        <f t="shared" si="52"/>
        <v>11</v>
      </c>
      <c r="D894" s="7" t="str">
        <f t="shared" si="53"/>
        <v>Nov</v>
      </c>
      <c r="E894" s="7" t="s">
        <v>1355</v>
      </c>
      <c r="F894" s="7" t="str">
        <f t="shared" si="54"/>
        <v>Bambang H.</v>
      </c>
      <c r="G894" s="7" t="s">
        <v>1361</v>
      </c>
      <c r="H894" s="7" t="s">
        <v>1366</v>
      </c>
      <c r="I894" s="7">
        <v>1</v>
      </c>
      <c r="J894" s="7" t="str">
        <f>INDEX(Master_Produk!$C$2:$C$11,MATCH(H894,Master_Produk!$A$2:$A$11,0))</f>
        <v>Elektronik</v>
      </c>
      <c r="K894" s="8">
        <f>INDEX(Master_Produk!$E$2:$E$11,MATCH(Data_Transaksi!H894,Master_Produk!$A$2:$A$11,0))</f>
        <v>7500000</v>
      </c>
      <c r="L894" s="8">
        <f t="shared" si="55"/>
        <v>7500000</v>
      </c>
      <c r="M894" s="8">
        <f>INDEX(Master_Target!$B$2:$M$4, MATCH(J894, Master_Target!$A$2:$A$4, 0), MATCH(TEXT(B894, "[$-421]mmmm"), Master_Target!$B$1:$M$1, 0))</f>
        <v>100000000</v>
      </c>
    </row>
    <row r="895" spans="1:13" x14ac:dyDescent="0.25">
      <c r="A895" s="7" t="s">
        <v>904</v>
      </c>
      <c r="B895" s="11" t="s">
        <v>1310</v>
      </c>
      <c r="C895" s="7">
        <f t="shared" si="52"/>
        <v>11</v>
      </c>
      <c r="D895" s="7" t="str">
        <f t="shared" si="53"/>
        <v>Nov</v>
      </c>
      <c r="E895" s="7" t="s">
        <v>1355</v>
      </c>
      <c r="F895" s="7" t="str">
        <f t="shared" si="54"/>
        <v>Bambang H.</v>
      </c>
      <c r="G895" s="7" t="s">
        <v>1360</v>
      </c>
      <c r="H895" s="7" t="s">
        <v>1362</v>
      </c>
      <c r="I895" s="7">
        <v>1</v>
      </c>
      <c r="J895" s="7" t="str">
        <f>INDEX(Master_Produk!$C$2:$C$11,MATCH(H895,Master_Produk!$A$2:$A$11,0))</f>
        <v>Pakaian</v>
      </c>
      <c r="K895" s="8">
        <f>INDEX(Master_Produk!$E$2:$E$11,MATCH(Data_Transaksi!H895,Master_Produk!$A$2:$A$11,0))</f>
        <v>350000</v>
      </c>
      <c r="L895" s="8">
        <f t="shared" si="55"/>
        <v>350000</v>
      </c>
      <c r="M895" s="8">
        <f>INDEX(Master_Target!$B$2:$M$4, MATCH(J895, Master_Target!$A$2:$A$4, 0), MATCH(TEXT(B895, "[$-421]mmmm"), Master_Target!$B$1:$M$1, 0))</f>
        <v>30000000</v>
      </c>
    </row>
    <row r="896" spans="1:13" x14ac:dyDescent="0.25">
      <c r="A896" s="7" t="s">
        <v>905</v>
      </c>
      <c r="B896" s="11" t="s">
        <v>1311</v>
      </c>
      <c r="C896" s="7">
        <f t="shared" si="52"/>
        <v>11</v>
      </c>
      <c r="D896" s="7" t="str">
        <f t="shared" si="53"/>
        <v>Nov</v>
      </c>
      <c r="E896" s="7" t="s">
        <v>1347</v>
      </c>
      <c r="F896" s="7" t="str">
        <f t="shared" si="54"/>
        <v>Rina Marlina</v>
      </c>
      <c r="G896" s="7" t="s">
        <v>1359</v>
      </c>
      <c r="H896" s="7" t="s">
        <v>1365</v>
      </c>
      <c r="I896" s="7">
        <v>3</v>
      </c>
      <c r="J896" s="7" t="str">
        <f>INDEX(Master_Produk!$C$2:$C$11,MATCH(H896,Master_Produk!$A$2:$A$11,0))</f>
        <v>Elektronik</v>
      </c>
      <c r="K896" s="8">
        <f>INDEX(Master_Produk!$E$2:$E$11,MATCH(Data_Transaksi!H896,Master_Produk!$A$2:$A$11,0))</f>
        <v>1800000</v>
      </c>
      <c r="L896" s="8">
        <f t="shared" si="55"/>
        <v>5400000</v>
      </c>
      <c r="M896" s="8">
        <f>INDEX(Master_Target!$B$2:$M$4, MATCH(J896, Master_Target!$A$2:$A$4, 0), MATCH(TEXT(B896, "[$-421]mmmm"), Master_Target!$B$1:$M$1, 0))</f>
        <v>100000000</v>
      </c>
    </row>
    <row r="897" spans="1:13" x14ac:dyDescent="0.25">
      <c r="A897" s="7" t="s">
        <v>906</v>
      </c>
      <c r="B897" s="11" t="s">
        <v>1311</v>
      </c>
      <c r="C897" s="7">
        <f t="shared" si="52"/>
        <v>11</v>
      </c>
      <c r="D897" s="7" t="str">
        <f t="shared" si="53"/>
        <v>Nov</v>
      </c>
      <c r="E897" s="7" t="s">
        <v>1353</v>
      </c>
      <c r="F897" s="7" t="str">
        <f t="shared" si="54"/>
        <v>Sari Yuliana</v>
      </c>
      <c r="G897" s="7" t="s">
        <v>1358</v>
      </c>
      <c r="H897" s="7" t="s">
        <v>1371</v>
      </c>
      <c r="I897" s="7">
        <v>2</v>
      </c>
      <c r="J897" s="7" t="str">
        <f>INDEX(Master_Produk!$C$2:$C$11,MATCH(H897,Master_Produk!$A$2:$A$11,0))</f>
        <v>Pakaian</v>
      </c>
      <c r="K897" s="8">
        <f>INDEX(Master_Produk!$E$2:$E$11,MATCH(Data_Transaksi!H897,Master_Produk!$A$2:$A$11,0))</f>
        <v>280000</v>
      </c>
      <c r="L897" s="8">
        <f t="shared" si="55"/>
        <v>560000</v>
      </c>
      <c r="M897" s="8">
        <f>INDEX(Master_Target!$B$2:$M$4, MATCH(J897, Master_Target!$A$2:$A$4, 0), MATCH(TEXT(B897, "[$-421]mmmm"), Master_Target!$B$1:$M$1, 0))</f>
        <v>30000000</v>
      </c>
    </row>
    <row r="898" spans="1:13" x14ac:dyDescent="0.25">
      <c r="A898" s="7" t="s">
        <v>907</v>
      </c>
      <c r="B898" s="11" t="s">
        <v>1311</v>
      </c>
      <c r="C898" s="7">
        <f t="shared" si="52"/>
        <v>11</v>
      </c>
      <c r="D898" s="7" t="str">
        <f t="shared" si="53"/>
        <v>Nov</v>
      </c>
      <c r="E898" s="7" t="s">
        <v>1348</v>
      </c>
      <c r="F898" s="7" t="str">
        <f t="shared" si="54"/>
        <v>Budi Santoso</v>
      </c>
      <c r="G898" s="7" t="s">
        <v>1359</v>
      </c>
      <c r="H898" s="7" t="s">
        <v>1365</v>
      </c>
      <c r="I898" s="7">
        <v>1</v>
      </c>
      <c r="J898" s="7" t="str">
        <f>INDEX(Master_Produk!$C$2:$C$11,MATCH(H898,Master_Produk!$A$2:$A$11,0))</f>
        <v>Elektronik</v>
      </c>
      <c r="K898" s="8">
        <f>INDEX(Master_Produk!$E$2:$E$11,MATCH(Data_Transaksi!H898,Master_Produk!$A$2:$A$11,0))</f>
        <v>1800000</v>
      </c>
      <c r="L898" s="8">
        <f t="shared" si="55"/>
        <v>1800000</v>
      </c>
      <c r="M898" s="8">
        <f>INDEX(Master_Target!$B$2:$M$4, MATCH(J898, Master_Target!$A$2:$A$4, 0), MATCH(TEXT(B898, "[$-421]mmmm"), Master_Target!$B$1:$M$1, 0))</f>
        <v>100000000</v>
      </c>
    </row>
    <row r="899" spans="1:13" x14ac:dyDescent="0.25">
      <c r="A899" s="7" t="s">
        <v>908</v>
      </c>
      <c r="B899" s="11" t="s">
        <v>1311</v>
      </c>
      <c r="C899" s="7">
        <f t="shared" ref="C899:C962" si="56">MONTH(B899)</f>
        <v>11</v>
      </c>
      <c r="D899" s="7" t="str">
        <f t="shared" ref="D899:D962" si="57">TEXT(B899,"mmm")</f>
        <v>Nov</v>
      </c>
      <c r="E899" s="7" t="s">
        <v>1354</v>
      </c>
      <c r="F899" s="7" t="str">
        <f t="shared" ref="F899:F962" si="58">TRIM(PROPER(E899))</f>
        <v>Mega Utami</v>
      </c>
      <c r="G899" s="7" t="s">
        <v>1358</v>
      </c>
      <c r="H899" s="7" t="s">
        <v>1369</v>
      </c>
      <c r="I899" s="7">
        <v>1</v>
      </c>
      <c r="J899" s="7" t="str">
        <f>INDEX(Master_Produk!$C$2:$C$11,MATCH(H899,Master_Produk!$A$2:$A$11,0))</f>
        <v>Elektronik</v>
      </c>
      <c r="K899" s="8">
        <f>INDEX(Master_Produk!$E$2:$E$11,MATCH(Data_Transaksi!H899,Master_Produk!$A$2:$A$11,0))</f>
        <v>4500000</v>
      </c>
      <c r="L899" s="8">
        <f t="shared" ref="L899:L962" si="59">I899*K899</f>
        <v>4500000</v>
      </c>
      <c r="M899" s="8">
        <f>INDEX(Master_Target!$B$2:$M$4, MATCH(J899, Master_Target!$A$2:$A$4, 0), MATCH(TEXT(B899, "[$-421]mmmm"), Master_Target!$B$1:$M$1, 0))</f>
        <v>100000000</v>
      </c>
    </row>
    <row r="900" spans="1:13" x14ac:dyDescent="0.25">
      <c r="A900" s="7" t="s">
        <v>909</v>
      </c>
      <c r="B900" s="11" t="s">
        <v>1312</v>
      </c>
      <c r="C900" s="7">
        <f t="shared" si="56"/>
        <v>11</v>
      </c>
      <c r="D900" s="7" t="str">
        <f t="shared" si="57"/>
        <v>Nov</v>
      </c>
      <c r="E900" s="7" t="s">
        <v>1356</v>
      </c>
      <c r="F900" s="7" t="str">
        <f t="shared" si="58"/>
        <v>Eko Prasetyo</v>
      </c>
      <c r="G900" s="7" t="s">
        <v>1361</v>
      </c>
      <c r="H900" s="7" t="s">
        <v>1366</v>
      </c>
      <c r="I900" s="7">
        <v>1</v>
      </c>
      <c r="J900" s="7" t="str">
        <f>INDEX(Master_Produk!$C$2:$C$11,MATCH(H900,Master_Produk!$A$2:$A$11,0))</f>
        <v>Elektronik</v>
      </c>
      <c r="K900" s="8">
        <f>INDEX(Master_Produk!$E$2:$E$11,MATCH(Data_Transaksi!H900,Master_Produk!$A$2:$A$11,0))</f>
        <v>7500000</v>
      </c>
      <c r="L900" s="8">
        <f t="shared" si="59"/>
        <v>7500000</v>
      </c>
      <c r="M900" s="8">
        <f>INDEX(Master_Target!$B$2:$M$4, MATCH(J900, Master_Target!$A$2:$A$4, 0), MATCH(TEXT(B900, "[$-421]mmmm"), Master_Target!$B$1:$M$1, 0))</f>
        <v>100000000</v>
      </c>
    </row>
    <row r="901" spans="1:13" x14ac:dyDescent="0.25">
      <c r="A901" s="7" t="s">
        <v>910</v>
      </c>
      <c r="B901" s="11" t="s">
        <v>1312</v>
      </c>
      <c r="C901" s="7">
        <f t="shared" si="56"/>
        <v>11</v>
      </c>
      <c r="D901" s="7" t="str">
        <f t="shared" si="57"/>
        <v>Nov</v>
      </c>
      <c r="E901" s="7" t="s">
        <v>1353</v>
      </c>
      <c r="F901" s="7" t="str">
        <f t="shared" si="58"/>
        <v>Sari Yuliana</v>
      </c>
      <c r="G901" s="7" t="s">
        <v>1357</v>
      </c>
      <c r="H901" s="7" t="s">
        <v>1369</v>
      </c>
      <c r="I901" s="7">
        <v>4</v>
      </c>
      <c r="J901" s="7" t="str">
        <f>INDEX(Master_Produk!$C$2:$C$11,MATCH(H901,Master_Produk!$A$2:$A$11,0))</f>
        <v>Elektronik</v>
      </c>
      <c r="K901" s="8">
        <f>INDEX(Master_Produk!$E$2:$E$11,MATCH(Data_Transaksi!H901,Master_Produk!$A$2:$A$11,0))</f>
        <v>4500000</v>
      </c>
      <c r="L901" s="8">
        <f t="shared" si="59"/>
        <v>18000000</v>
      </c>
      <c r="M901" s="8">
        <f>INDEX(Master_Target!$B$2:$M$4, MATCH(J901, Master_Target!$A$2:$A$4, 0), MATCH(TEXT(B901, "[$-421]mmmm"), Master_Target!$B$1:$M$1, 0))</f>
        <v>100000000</v>
      </c>
    </row>
    <row r="902" spans="1:13" x14ac:dyDescent="0.25">
      <c r="A902" s="7" t="s">
        <v>911</v>
      </c>
      <c r="B902" s="11" t="s">
        <v>1312</v>
      </c>
      <c r="C902" s="7">
        <f t="shared" si="56"/>
        <v>11</v>
      </c>
      <c r="D902" s="7" t="str">
        <f t="shared" si="57"/>
        <v>Nov</v>
      </c>
      <c r="E902" s="7" t="s">
        <v>1349</v>
      </c>
      <c r="F902" s="7" t="str">
        <f t="shared" si="58"/>
        <v>Dewi Lestari</v>
      </c>
      <c r="G902" s="7" t="s">
        <v>1357</v>
      </c>
      <c r="H902" s="7" t="s">
        <v>1363</v>
      </c>
      <c r="I902" s="7">
        <v>1</v>
      </c>
      <c r="J902" s="7" t="str">
        <f>INDEX(Master_Produk!$C$2:$C$11,MATCH(H902,Master_Produk!$A$2:$A$11,0))</f>
        <v>Pakaian</v>
      </c>
      <c r="K902" s="8">
        <f>INDEX(Master_Produk!$E$2:$E$11,MATCH(Data_Transaksi!H902,Master_Produk!$A$2:$A$11,0))</f>
        <v>250000</v>
      </c>
      <c r="L902" s="8">
        <f t="shared" si="59"/>
        <v>250000</v>
      </c>
      <c r="M902" s="8">
        <f>INDEX(Master_Target!$B$2:$M$4, MATCH(J902, Master_Target!$A$2:$A$4, 0), MATCH(TEXT(B902, "[$-421]mmmm"), Master_Target!$B$1:$M$1, 0))</f>
        <v>30000000</v>
      </c>
    </row>
    <row r="903" spans="1:13" x14ac:dyDescent="0.25">
      <c r="A903" s="7" t="s">
        <v>912</v>
      </c>
      <c r="B903" s="11" t="s">
        <v>1313</v>
      </c>
      <c r="C903" s="7">
        <f t="shared" si="56"/>
        <v>11</v>
      </c>
      <c r="D903" s="7" t="str">
        <f t="shared" si="57"/>
        <v>Nov</v>
      </c>
      <c r="E903" s="7" t="s">
        <v>1348</v>
      </c>
      <c r="F903" s="7" t="str">
        <f t="shared" si="58"/>
        <v>Budi Santoso</v>
      </c>
      <c r="G903" s="7" t="s">
        <v>1359</v>
      </c>
      <c r="H903" s="7" t="s">
        <v>1364</v>
      </c>
      <c r="I903" s="7">
        <v>1</v>
      </c>
      <c r="J903" s="7" t="str">
        <f>INDEX(Master_Produk!$C$2:$C$11,MATCH(H903,Master_Produk!$A$2:$A$11,0))</f>
        <v>Furnitur</v>
      </c>
      <c r="K903" s="8">
        <f>INDEX(Master_Produk!$E$2:$E$11,MATCH(Data_Transaksi!H903,Master_Produk!$A$2:$A$11,0))</f>
        <v>950000</v>
      </c>
      <c r="L903" s="8">
        <f t="shared" si="59"/>
        <v>950000</v>
      </c>
      <c r="M903" s="8">
        <f>INDEX(Master_Target!$B$2:$M$4, MATCH(J903, Master_Target!$A$2:$A$4, 0), MATCH(TEXT(B903, "[$-421]mmmm"), Master_Target!$B$1:$M$1, 0))</f>
        <v>40000000</v>
      </c>
    </row>
    <row r="904" spans="1:13" x14ac:dyDescent="0.25">
      <c r="A904" s="7" t="s">
        <v>913</v>
      </c>
      <c r="B904" s="11" t="s">
        <v>1314</v>
      </c>
      <c r="C904" s="7">
        <f t="shared" si="56"/>
        <v>11</v>
      </c>
      <c r="D904" s="7" t="str">
        <f t="shared" si="57"/>
        <v>Nov</v>
      </c>
      <c r="E904" s="7" t="s">
        <v>1347</v>
      </c>
      <c r="F904" s="7" t="str">
        <f t="shared" si="58"/>
        <v>Rina Marlina</v>
      </c>
      <c r="G904" s="7" t="s">
        <v>1360</v>
      </c>
      <c r="H904" s="7" t="s">
        <v>1368</v>
      </c>
      <c r="I904" s="7">
        <v>1</v>
      </c>
      <c r="J904" s="7" t="str">
        <f>INDEX(Master_Produk!$C$2:$C$11,MATCH(H904,Master_Produk!$A$2:$A$11,0))</f>
        <v>Furnitur</v>
      </c>
      <c r="K904" s="8">
        <f>INDEX(Master_Produk!$E$2:$E$11,MATCH(Data_Transaksi!H904,Master_Produk!$A$2:$A$11,0))</f>
        <v>650000</v>
      </c>
      <c r="L904" s="8">
        <f t="shared" si="59"/>
        <v>650000</v>
      </c>
      <c r="M904" s="8">
        <f>INDEX(Master_Target!$B$2:$M$4, MATCH(J904, Master_Target!$A$2:$A$4, 0), MATCH(TEXT(B904, "[$-421]mmmm"), Master_Target!$B$1:$M$1, 0))</f>
        <v>40000000</v>
      </c>
    </row>
    <row r="905" spans="1:13" x14ac:dyDescent="0.25">
      <c r="A905" s="7" t="s">
        <v>914</v>
      </c>
      <c r="B905" s="11" t="s">
        <v>1315</v>
      </c>
      <c r="C905" s="7">
        <f t="shared" si="56"/>
        <v>11</v>
      </c>
      <c r="D905" s="7" t="str">
        <f t="shared" si="57"/>
        <v>Nov</v>
      </c>
      <c r="E905" s="7" t="s">
        <v>1350</v>
      </c>
      <c r="F905" s="7" t="str">
        <f t="shared" si="58"/>
        <v>Andi Wijaya</v>
      </c>
      <c r="G905" s="7" t="s">
        <v>1358</v>
      </c>
      <c r="H905" s="7" t="s">
        <v>1368</v>
      </c>
      <c r="I905" s="7">
        <v>1</v>
      </c>
      <c r="J905" s="7" t="str">
        <f>INDEX(Master_Produk!$C$2:$C$11,MATCH(H905,Master_Produk!$A$2:$A$11,0))</f>
        <v>Furnitur</v>
      </c>
      <c r="K905" s="8">
        <f>INDEX(Master_Produk!$E$2:$E$11,MATCH(Data_Transaksi!H905,Master_Produk!$A$2:$A$11,0))</f>
        <v>650000</v>
      </c>
      <c r="L905" s="8">
        <f t="shared" si="59"/>
        <v>650000</v>
      </c>
      <c r="M905" s="8">
        <f>INDEX(Master_Target!$B$2:$M$4, MATCH(J905, Master_Target!$A$2:$A$4, 0), MATCH(TEXT(B905, "[$-421]mmmm"), Master_Target!$B$1:$M$1, 0))</f>
        <v>40000000</v>
      </c>
    </row>
    <row r="906" spans="1:13" x14ac:dyDescent="0.25">
      <c r="A906" s="7" t="s">
        <v>915</v>
      </c>
      <c r="B906" s="11" t="s">
        <v>1315</v>
      </c>
      <c r="C906" s="7">
        <f t="shared" si="56"/>
        <v>11</v>
      </c>
      <c r="D906" s="7" t="str">
        <f t="shared" si="57"/>
        <v>Nov</v>
      </c>
      <c r="E906" s="7" t="s">
        <v>1353</v>
      </c>
      <c r="F906" s="7" t="str">
        <f t="shared" si="58"/>
        <v>Sari Yuliana</v>
      </c>
      <c r="G906" s="7" t="s">
        <v>1357</v>
      </c>
      <c r="H906" s="7" t="s">
        <v>1368</v>
      </c>
      <c r="I906" s="7">
        <v>1</v>
      </c>
      <c r="J906" s="7" t="str">
        <f>INDEX(Master_Produk!$C$2:$C$11,MATCH(H906,Master_Produk!$A$2:$A$11,0))</f>
        <v>Furnitur</v>
      </c>
      <c r="K906" s="8">
        <f>INDEX(Master_Produk!$E$2:$E$11,MATCH(Data_Transaksi!H906,Master_Produk!$A$2:$A$11,0))</f>
        <v>650000</v>
      </c>
      <c r="L906" s="8">
        <f t="shared" si="59"/>
        <v>650000</v>
      </c>
      <c r="M906" s="8">
        <f>INDEX(Master_Target!$B$2:$M$4, MATCH(J906, Master_Target!$A$2:$A$4, 0), MATCH(TEXT(B906, "[$-421]mmmm"), Master_Target!$B$1:$M$1, 0))</f>
        <v>40000000</v>
      </c>
    </row>
    <row r="907" spans="1:13" x14ac:dyDescent="0.25">
      <c r="A907" s="7" t="s">
        <v>916</v>
      </c>
      <c r="B907" s="11" t="s">
        <v>1315</v>
      </c>
      <c r="C907" s="7">
        <f t="shared" si="56"/>
        <v>11</v>
      </c>
      <c r="D907" s="7" t="str">
        <f t="shared" si="57"/>
        <v>Nov</v>
      </c>
      <c r="E907" s="7" t="s">
        <v>1353</v>
      </c>
      <c r="F907" s="7" t="str">
        <f t="shared" si="58"/>
        <v>Sari Yuliana</v>
      </c>
      <c r="G907" s="7" t="s">
        <v>1359</v>
      </c>
      <c r="H907" s="7" t="s">
        <v>1362</v>
      </c>
      <c r="I907" s="7">
        <v>2</v>
      </c>
      <c r="J907" s="7" t="str">
        <f>INDEX(Master_Produk!$C$2:$C$11,MATCH(H907,Master_Produk!$A$2:$A$11,0))</f>
        <v>Pakaian</v>
      </c>
      <c r="K907" s="8">
        <f>INDEX(Master_Produk!$E$2:$E$11,MATCH(Data_Transaksi!H907,Master_Produk!$A$2:$A$11,0))</f>
        <v>350000</v>
      </c>
      <c r="L907" s="8">
        <f t="shared" si="59"/>
        <v>700000</v>
      </c>
      <c r="M907" s="8">
        <f>INDEX(Master_Target!$B$2:$M$4, MATCH(J907, Master_Target!$A$2:$A$4, 0), MATCH(TEXT(B907, "[$-421]mmmm"), Master_Target!$B$1:$M$1, 0))</f>
        <v>30000000</v>
      </c>
    </row>
    <row r="908" spans="1:13" x14ac:dyDescent="0.25">
      <c r="A908" s="7" t="s">
        <v>917</v>
      </c>
      <c r="B908" s="11" t="s">
        <v>1316</v>
      </c>
      <c r="C908" s="7">
        <f t="shared" si="56"/>
        <v>11</v>
      </c>
      <c r="D908" s="7" t="str">
        <f t="shared" si="57"/>
        <v>Nov</v>
      </c>
      <c r="E908" s="7" t="s">
        <v>1348</v>
      </c>
      <c r="F908" s="7" t="str">
        <f t="shared" si="58"/>
        <v>Budi Santoso</v>
      </c>
      <c r="G908" s="7" t="s">
        <v>1360</v>
      </c>
      <c r="H908" s="7" t="s">
        <v>1362</v>
      </c>
      <c r="I908" s="7">
        <v>1</v>
      </c>
      <c r="J908" s="7" t="str">
        <f>INDEX(Master_Produk!$C$2:$C$11,MATCH(H908,Master_Produk!$A$2:$A$11,0))</f>
        <v>Pakaian</v>
      </c>
      <c r="K908" s="8">
        <f>INDEX(Master_Produk!$E$2:$E$11,MATCH(Data_Transaksi!H908,Master_Produk!$A$2:$A$11,0))</f>
        <v>350000</v>
      </c>
      <c r="L908" s="8">
        <f t="shared" si="59"/>
        <v>350000</v>
      </c>
      <c r="M908" s="8">
        <f>INDEX(Master_Target!$B$2:$M$4, MATCH(J908, Master_Target!$A$2:$A$4, 0), MATCH(TEXT(B908, "[$-421]mmmm"), Master_Target!$B$1:$M$1, 0))</f>
        <v>30000000</v>
      </c>
    </row>
    <row r="909" spans="1:13" x14ac:dyDescent="0.25">
      <c r="A909" s="7" t="s">
        <v>918</v>
      </c>
      <c r="B909" s="11" t="s">
        <v>1316</v>
      </c>
      <c r="C909" s="7">
        <f t="shared" si="56"/>
        <v>11</v>
      </c>
      <c r="D909" s="7" t="str">
        <f t="shared" si="57"/>
        <v>Nov</v>
      </c>
      <c r="E909" s="7" t="s">
        <v>1349</v>
      </c>
      <c r="F909" s="7" t="str">
        <f t="shared" si="58"/>
        <v>Dewi Lestari</v>
      </c>
      <c r="G909" s="7" t="s">
        <v>1361</v>
      </c>
      <c r="H909" s="7" t="s">
        <v>1364</v>
      </c>
      <c r="I909" s="7">
        <v>3</v>
      </c>
      <c r="J909" s="7" t="str">
        <f>INDEX(Master_Produk!$C$2:$C$11,MATCH(H909,Master_Produk!$A$2:$A$11,0))</f>
        <v>Furnitur</v>
      </c>
      <c r="K909" s="8">
        <f>INDEX(Master_Produk!$E$2:$E$11,MATCH(Data_Transaksi!H909,Master_Produk!$A$2:$A$11,0))</f>
        <v>950000</v>
      </c>
      <c r="L909" s="8">
        <f t="shared" si="59"/>
        <v>2850000</v>
      </c>
      <c r="M909" s="8">
        <f>INDEX(Master_Target!$B$2:$M$4, MATCH(J909, Master_Target!$A$2:$A$4, 0), MATCH(TEXT(B909, "[$-421]mmmm"), Master_Target!$B$1:$M$1, 0))</f>
        <v>40000000</v>
      </c>
    </row>
    <row r="910" spans="1:13" x14ac:dyDescent="0.25">
      <c r="A910" s="7" t="s">
        <v>919</v>
      </c>
      <c r="B910" s="11" t="s">
        <v>1316</v>
      </c>
      <c r="C910" s="7">
        <f t="shared" si="56"/>
        <v>11</v>
      </c>
      <c r="D910" s="7" t="str">
        <f t="shared" si="57"/>
        <v>Nov</v>
      </c>
      <c r="E910" s="7" t="s">
        <v>1353</v>
      </c>
      <c r="F910" s="7" t="str">
        <f t="shared" si="58"/>
        <v>Sari Yuliana</v>
      </c>
      <c r="G910" s="7" t="s">
        <v>1360</v>
      </c>
      <c r="H910" s="7" t="s">
        <v>1367</v>
      </c>
      <c r="I910" s="7">
        <v>1</v>
      </c>
      <c r="J910" s="7" t="str">
        <f>INDEX(Master_Produk!$C$2:$C$11,MATCH(H910,Master_Produk!$A$2:$A$11,0))</f>
        <v>Elektronik</v>
      </c>
      <c r="K910" s="8">
        <f>INDEX(Master_Produk!$E$2:$E$11,MATCH(Data_Transaksi!H910,Master_Produk!$A$2:$A$11,0))</f>
        <v>250000</v>
      </c>
      <c r="L910" s="8">
        <f t="shared" si="59"/>
        <v>250000</v>
      </c>
      <c r="M910" s="8">
        <f>INDEX(Master_Target!$B$2:$M$4, MATCH(J910, Master_Target!$A$2:$A$4, 0), MATCH(TEXT(B910, "[$-421]mmmm"), Master_Target!$B$1:$M$1, 0))</f>
        <v>100000000</v>
      </c>
    </row>
    <row r="911" spans="1:13" x14ac:dyDescent="0.25">
      <c r="A911" s="7" t="s">
        <v>920</v>
      </c>
      <c r="B911" s="11" t="s">
        <v>1316</v>
      </c>
      <c r="C911" s="7">
        <f t="shared" si="56"/>
        <v>11</v>
      </c>
      <c r="D911" s="7" t="str">
        <f t="shared" si="57"/>
        <v>Nov</v>
      </c>
      <c r="E911" s="7" t="s">
        <v>1348</v>
      </c>
      <c r="F911" s="7" t="str">
        <f t="shared" si="58"/>
        <v>Budi Santoso</v>
      </c>
      <c r="G911" s="7" t="s">
        <v>1361</v>
      </c>
      <c r="H911" s="7" t="s">
        <v>1371</v>
      </c>
      <c r="I911" s="7">
        <v>2</v>
      </c>
      <c r="J911" s="7" t="str">
        <f>INDEX(Master_Produk!$C$2:$C$11,MATCH(H911,Master_Produk!$A$2:$A$11,0))</f>
        <v>Pakaian</v>
      </c>
      <c r="K911" s="8">
        <f>INDEX(Master_Produk!$E$2:$E$11,MATCH(Data_Transaksi!H911,Master_Produk!$A$2:$A$11,0))</f>
        <v>280000</v>
      </c>
      <c r="L911" s="8">
        <f t="shared" si="59"/>
        <v>560000</v>
      </c>
      <c r="M911" s="8">
        <f>INDEX(Master_Target!$B$2:$M$4, MATCH(J911, Master_Target!$A$2:$A$4, 0), MATCH(TEXT(B911, "[$-421]mmmm"), Master_Target!$B$1:$M$1, 0))</f>
        <v>30000000</v>
      </c>
    </row>
    <row r="912" spans="1:13" x14ac:dyDescent="0.25">
      <c r="A912" s="7" t="s">
        <v>921</v>
      </c>
      <c r="B912" s="11" t="s">
        <v>1317</v>
      </c>
      <c r="C912" s="7">
        <f t="shared" si="56"/>
        <v>11</v>
      </c>
      <c r="D912" s="7" t="str">
        <f t="shared" si="57"/>
        <v>Nov</v>
      </c>
      <c r="E912" s="7" t="s">
        <v>1351</v>
      </c>
      <c r="F912" s="7" t="str">
        <f t="shared" si="58"/>
        <v>Siti Rahma</v>
      </c>
      <c r="G912" s="7" t="s">
        <v>1359</v>
      </c>
      <c r="H912" s="7" t="s">
        <v>1365</v>
      </c>
      <c r="I912" s="7">
        <v>4</v>
      </c>
      <c r="J912" s="7" t="str">
        <f>INDEX(Master_Produk!$C$2:$C$11,MATCH(H912,Master_Produk!$A$2:$A$11,0))</f>
        <v>Elektronik</v>
      </c>
      <c r="K912" s="8">
        <f>INDEX(Master_Produk!$E$2:$E$11,MATCH(Data_Transaksi!H912,Master_Produk!$A$2:$A$11,0))</f>
        <v>1800000</v>
      </c>
      <c r="L912" s="8">
        <f t="shared" si="59"/>
        <v>7200000</v>
      </c>
      <c r="M912" s="8">
        <f>INDEX(Master_Target!$B$2:$M$4, MATCH(J912, Master_Target!$A$2:$A$4, 0), MATCH(TEXT(B912, "[$-421]mmmm"), Master_Target!$B$1:$M$1, 0))</f>
        <v>100000000</v>
      </c>
    </row>
    <row r="913" spans="1:13" x14ac:dyDescent="0.25">
      <c r="A913" s="7" t="s">
        <v>922</v>
      </c>
      <c r="B913" s="11" t="s">
        <v>1318</v>
      </c>
      <c r="C913" s="7">
        <f t="shared" si="56"/>
        <v>12</v>
      </c>
      <c r="D913" s="7" t="str">
        <f t="shared" si="57"/>
        <v>Dec</v>
      </c>
      <c r="E913" s="7" t="s">
        <v>1355</v>
      </c>
      <c r="F913" s="7" t="str">
        <f t="shared" si="58"/>
        <v>Bambang H.</v>
      </c>
      <c r="G913" s="7" t="s">
        <v>1360</v>
      </c>
      <c r="H913" s="7" t="s">
        <v>1367</v>
      </c>
      <c r="I913" s="7">
        <v>2</v>
      </c>
      <c r="J913" s="7" t="str">
        <f>INDEX(Master_Produk!$C$2:$C$11,MATCH(H913,Master_Produk!$A$2:$A$11,0))</f>
        <v>Elektronik</v>
      </c>
      <c r="K913" s="8">
        <f>INDEX(Master_Produk!$E$2:$E$11,MATCH(Data_Transaksi!H913,Master_Produk!$A$2:$A$11,0))</f>
        <v>250000</v>
      </c>
      <c r="L913" s="8">
        <f t="shared" si="59"/>
        <v>500000</v>
      </c>
      <c r="M913" s="8">
        <f>INDEX(Master_Target!$B$2:$M$4, MATCH(J913, Master_Target!$A$2:$A$4, 0), MATCH(TEXT(B913, "[$-421]mmmm"), Master_Target!$B$1:$M$1, 0))</f>
        <v>110000000</v>
      </c>
    </row>
    <row r="914" spans="1:13" x14ac:dyDescent="0.25">
      <c r="A914" s="7" t="s">
        <v>923</v>
      </c>
      <c r="B914" s="11" t="s">
        <v>1318</v>
      </c>
      <c r="C914" s="7">
        <f t="shared" si="56"/>
        <v>12</v>
      </c>
      <c r="D914" s="7" t="str">
        <f t="shared" si="57"/>
        <v>Dec</v>
      </c>
      <c r="E914" s="7" t="s">
        <v>1352</v>
      </c>
      <c r="F914" s="7" t="str">
        <f t="shared" si="58"/>
        <v>Ahmad Fauzi</v>
      </c>
      <c r="G914" s="7" t="s">
        <v>1359</v>
      </c>
      <c r="H914" s="7" t="s">
        <v>1362</v>
      </c>
      <c r="I914" s="7">
        <v>2</v>
      </c>
      <c r="J914" s="7" t="str">
        <f>INDEX(Master_Produk!$C$2:$C$11,MATCH(H914,Master_Produk!$A$2:$A$11,0))</f>
        <v>Pakaian</v>
      </c>
      <c r="K914" s="8">
        <f>INDEX(Master_Produk!$E$2:$E$11,MATCH(Data_Transaksi!H914,Master_Produk!$A$2:$A$11,0))</f>
        <v>350000</v>
      </c>
      <c r="L914" s="8">
        <f t="shared" si="59"/>
        <v>700000</v>
      </c>
      <c r="M914" s="8">
        <f>INDEX(Master_Target!$B$2:$M$4, MATCH(J914, Master_Target!$A$2:$A$4, 0), MATCH(TEXT(B914, "[$-421]mmmm"), Master_Target!$B$1:$M$1, 0))</f>
        <v>35000000</v>
      </c>
    </row>
    <row r="915" spans="1:13" x14ac:dyDescent="0.25">
      <c r="A915" s="7" t="s">
        <v>924</v>
      </c>
      <c r="B915" s="11" t="s">
        <v>1318</v>
      </c>
      <c r="C915" s="7">
        <f t="shared" si="56"/>
        <v>12</v>
      </c>
      <c r="D915" s="7" t="str">
        <f t="shared" si="57"/>
        <v>Dec</v>
      </c>
      <c r="E915" s="7" t="s">
        <v>1355</v>
      </c>
      <c r="F915" s="7" t="str">
        <f t="shared" si="58"/>
        <v>Bambang H.</v>
      </c>
      <c r="G915" s="7" t="s">
        <v>1361</v>
      </c>
      <c r="H915" s="7" t="s">
        <v>1368</v>
      </c>
      <c r="I915" s="7">
        <v>1</v>
      </c>
      <c r="J915" s="7" t="str">
        <f>INDEX(Master_Produk!$C$2:$C$11,MATCH(H915,Master_Produk!$A$2:$A$11,0))</f>
        <v>Furnitur</v>
      </c>
      <c r="K915" s="8">
        <f>INDEX(Master_Produk!$E$2:$E$11,MATCH(Data_Transaksi!H915,Master_Produk!$A$2:$A$11,0))</f>
        <v>650000</v>
      </c>
      <c r="L915" s="8">
        <f t="shared" si="59"/>
        <v>650000</v>
      </c>
      <c r="M915" s="8">
        <f>INDEX(Master_Target!$B$2:$M$4, MATCH(J915, Master_Target!$A$2:$A$4, 0), MATCH(TEXT(B915, "[$-421]mmmm"), Master_Target!$B$1:$M$1, 0))</f>
        <v>45000000</v>
      </c>
    </row>
    <row r="916" spans="1:13" x14ac:dyDescent="0.25">
      <c r="A916" s="7" t="s">
        <v>925</v>
      </c>
      <c r="B916" s="11" t="s">
        <v>1318</v>
      </c>
      <c r="C916" s="7">
        <f t="shared" si="56"/>
        <v>12</v>
      </c>
      <c r="D916" s="7" t="str">
        <f t="shared" si="57"/>
        <v>Dec</v>
      </c>
      <c r="E916" s="7" t="s">
        <v>1349</v>
      </c>
      <c r="F916" s="7" t="str">
        <f t="shared" si="58"/>
        <v>Dewi Lestari</v>
      </c>
      <c r="G916" s="7" t="s">
        <v>1357</v>
      </c>
      <c r="H916" s="7" t="s">
        <v>1370</v>
      </c>
      <c r="I916" s="7">
        <v>1</v>
      </c>
      <c r="J916" s="7" t="str">
        <f>INDEX(Master_Produk!$C$2:$C$11,MATCH(H916,Master_Produk!$A$2:$A$11,0))</f>
        <v>Furnitur</v>
      </c>
      <c r="K916" s="8">
        <f>INDEX(Master_Produk!$E$2:$E$11,MATCH(Data_Transaksi!H916,Master_Produk!$A$2:$A$11,0))</f>
        <v>1200000</v>
      </c>
      <c r="L916" s="8">
        <f t="shared" si="59"/>
        <v>1200000</v>
      </c>
      <c r="M916" s="8">
        <f>INDEX(Master_Target!$B$2:$M$4, MATCH(J916, Master_Target!$A$2:$A$4, 0), MATCH(TEXT(B916, "[$-421]mmmm"), Master_Target!$B$1:$M$1, 0))</f>
        <v>45000000</v>
      </c>
    </row>
    <row r="917" spans="1:13" x14ac:dyDescent="0.25">
      <c r="A917" s="7" t="s">
        <v>926</v>
      </c>
      <c r="B917" s="11" t="s">
        <v>1319</v>
      </c>
      <c r="C917" s="7">
        <f t="shared" si="56"/>
        <v>12</v>
      </c>
      <c r="D917" s="7" t="str">
        <f t="shared" si="57"/>
        <v>Dec</v>
      </c>
      <c r="E917" s="7" t="s">
        <v>1351</v>
      </c>
      <c r="F917" s="7" t="str">
        <f t="shared" si="58"/>
        <v>Siti Rahma</v>
      </c>
      <c r="G917" s="7" t="s">
        <v>1357</v>
      </c>
      <c r="H917" s="7" t="s">
        <v>1371</v>
      </c>
      <c r="I917" s="7">
        <v>2</v>
      </c>
      <c r="J917" s="7" t="str">
        <f>INDEX(Master_Produk!$C$2:$C$11,MATCH(H917,Master_Produk!$A$2:$A$11,0))</f>
        <v>Pakaian</v>
      </c>
      <c r="K917" s="8">
        <f>INDEX(Master_Produk!$E$2:$E$11,MATCH(Data_Transaksi!H917,Master_Produk!$A$2:$A$11,0))</f>
        <v>280000</v>
      </c>
      <c r="L917" s="8">
        <f t="shared" si="59"/>
        <v>560000</v>
      </c>
      <c r="M917" s="8">
        <f>INDEX(Master_Target!$B$2:$M$4, MATCH(J917, Master_Target!$A$2:$A$4, 0), MATCH(TEXT(B917, "[$-421]mmmm"), Master_Target!$B$1:$M$1, 0))</f>
        <v>35000000</v>
      </c>
    </row>
    <row r="918" spans="1:13" x14ac:dyDescent="0.25">
      <c r="A918" s="7" t="s">
        <v>927</v>
      </c>
      <c r="B918" s="11" t="s">
        <v>1319</v>
      </c>
      <c r="C918" s="7">
        <f t="shared" si="56"/>
        <v>12</v>
      </c>
      <c r="D918" s="7" t="str">
        <f t="shared" si="57"/>
        <v>Dec</v>
      </c>
      <c r="E918" s="7" t="s">
        <v>1353</v>
      </c>
      <c r="F918" s="7" t="str">
        <f t="shared" si="58"/>
        <v>Sari Yuliana</v>
      </c>
      <c r="G918" s="7" t="s">
        <v>1361</v>
      </c>
      <c r="H918" s="7" t="s">
        <v>1366</v>
      </c>
      <c r="I918" s="7">
        <v>10</v>
      </c>
      <c r="J918" s="7" t="str">
        <f>INDEX(Master_Produk!$C$2:$C$11,MATCH(H918,Master_Produk!$A$2:$A$11,0))</f>
        <v>Elektronik</v>
      </c>
      <c r="K918" s="8">
        <f>INDEX(Master_Produk!$E$2:$E$11,MATCH(Data_Transaksi!H918,Master_Produk!$A$2:$A$11,0))</f>
        <v>7500000</v>
      </c>
      <c r="L918" s="8">
        <f t="shared" si="59"/>
        <v>75000000</v>
      </c>
      <c r="M918" s="8">
        <f>INDEX(Master_Target!$B$2:$M$4, MATCH(J918, Master_Target!$A$2:$A$4, 0), MATCH(TEXT(B918, "[$-421]mmmm"), Master_Target!$B$1:$M$1, 0))</f>
        <v>110000000</v>
      </c>
    </row>
    <row r="919" spans="1:13" x14ac:dyDescent="0.25">
      <c r="A919" s="7" t="s">
        <v>928</v>
      </c>
      <c r="B919" s="11" t="s">
        <v>1320</v>
      </c>
      <c r="C919" s="7">
        <f t="shared" si="56"/>
        <v>12</v>
      </c>
      <c r="D919" s="7" t="str">
        <f t="shared" si="57"/>
        <v>Dec</v>
      </c>
      <c r="E919" s="7" t="s">
        <v>1354</v>
      </c>
      <c r="F919" s="7" t="str">
        <f t="shared" si="58"/>
        <v>Mega Utami</v>
      </c>
      <c r="G919" s="7" t="s">
        <v>1358</v>
      </c>
      <c r="H919" s="7" t="s">
        <v>1367</v>
      </c>
      <c r="I919" s="7">
        <v>2</v>
      </c>
      <c r="J919" s="7" t="str">
        <f>INDEX(Master_Produk!$C$2:$C$11,MATCH(H919,Master_Produk!$A$2:$A$11,0))</f>
        <v>Elektronik</v>
      </c>
      <c r="K919" s="8">
        <f>INDEX(Master_Produk!$E$2:$E$11,MATCH(Data_Transaksi!H919,Master_Produk!$A$2:$A$11,0))</f>
        <v>250000</v>
      </c>
      <c r="L919" s="8">
        <f t="shared" si="59"/>
        <v>500000</v>
      </c>
      <c r="M919" s="8">
        <f>INDEX(Master_Target!$B$2:$M$4, MATCH(J919, Master_Target!$A$2:$A$4, 0), MATCH(TEXT(B919, "[$-421]mmmm"), Master_Target!$B$1:$M$1, 0))</f>
        <v>110000000</v>
      </c>
    </row>
    <row r="920" spans="1:13" x14ac:dyDescent="0.25">
      <c r="A920" s="7" t="s">
        <v>929</v>
      </c>
      <c r="B920" s="11" t="s">
        <v>1320</v>
      </c>
      <c r="C920" s="7">
        <f t="shared" si="56"/>
        <v>12</v>
      </c>
      <c r="D920" s="7" t="str">
        <f t="shared" si="57"/>
        <v>Dec</v>
      </c>
      <c r="E920" s="7" t="s">
        <v>1355</v>
      </c>
      <c r="F920" s="7" t="str">
        <f t="shared" si="58"/>
        <v>Bambang H.</v>
      </c>
      <c r="G920" s="7" t="s">
        <v>1358</v>
      </c>
      <c r="H920" s="7" t="s">
        <v>1369</v>
      </c>
      <c r="I920" s="7">
        <v>2</v>
      </c>
      <c r="J920" s="7" t="str">
        <f>INDEX(Master_Produk!$C$2:$C$11,MATCH(H920,Master_Produk!$A$2:$A$11,0))</f>
        <v>Elektronik</v>
      </c>
      <c r="K920" s="8">
        <f>INDEX(Master_Produk!$E$2:$E$11,MATCH(Data_Transaksi!H920,Master_Produk!$A$2:$A$11,0))</f>
        <v>4500000</v>
      </c>
      <c r="L920" s="8">
        <f t="shared" si="59"/>
        <v>9000000</v>
      </c>
      <c r="M920" s="8">
        <f>INDEX(Master_Target!$B$2:$M$4, MATCH(J920, Master_Target!$A$2:$A$4, 0), MATCH(TEXT(B920, "[$-421]mmmm"), Master_Target!$B$1:$M$1, 0))</f>
        <v>110000000</v>
      </c>
    </row>
    <row r="921" spans="1:13" x14ac:dyDescent="0.25">
      <c r="A921" s="7" t="s">
        <v>930</v>
      </c>
      <c r="B921" s="11" t="s">
        <v>1321</v>
      </c>
      <c r="C921" s="7">
        <f t="shared" si="56"/>
        <v>12</v>
      </c>
      <c r="D921" s="7" t="str">
        <f t="shared" si="57"/>
        <v>Dec</v>
      </c>
      <c r="E921" s="7" t="s">
        <v>1347</v>
      </c>
      <c r="F921" s="7" t="str">
        <f t="shared" si="58"/>
        <v>Rina Marlina</v>
      </c>
      <c r="G921" s="7" t="s">
        <v>1357</v>
      </c>
      <c r="H921" s="7" t="s">
        <v>1363</v>
      </c>
      <c r="I921" s="7">
        <v>3</v>
      </c>
      <c r="J921" s="7" t="str">
        <f>INDEX(Master_Produk!$C$2:$C$11,MATCH(H921,Master_Produk!$A$2:$A$11,0))</f>
        <v>Pakaian</v>
      </c>
      <c r="K921" s="8">
        <f>INDEX(Master_Produk!$E$2:$E$11,MATCH(Data_Transaksi!H921,Master_Produk!$A$2:$A$11,0))</f>
        <v>250000</v>
      </c>
      <c r="L921" s="8">
        <f t="shared" si="59"/>
        <v>750000</v>
      </c>
      <c r="M921" s="8">
        <f>INDEX(Master_Target!$B$2:$M$4, MATCH(J921, Master_Target!$A$2:$A$4, 0), MATCH(TEXT(B921, "[$-421]mmmm"), Master_Target!$B$1:$M$1, 0))</f>
        <v>35000000</v>
      </c>
    </row>
    <row r="922" spans="1:13" x14ac:dyDescent="0.25">
      <c r="A922" s="7" t="s">
        <v>931</v>
      </c>
      <c r="B922" s="11" t="s">
        <v>1321</v>
      </c>
      <c r="C922" s="7">
        <f t="shared" si="56"/>
        <v>12</v>
      </c>
      <c r="D922" s="7" t="str">
        <f t="shared" si="57"/>
        <v>Dec</v>
      </c>
      <c r="E922" s="7" t="s">
        <v>1355</v>
      </c>
      <c r="F922" s="7" t="str">
        <f t="shared" si="58"/>
        <v>Bambang H.</v>
      </c>
      <c r="G922" s="7" t="s">
        <v>1357</v>
      </c>
      <c r="H922" s="7" t="s">
        <v>1365</v>
      </c>
      <c r="I922" s="7">
        <v>2</v>
      </c>
      <c r="J922" s="7" t="str">
        <f>INDEX(Master_Produk!$C$2:$C$11,MATCH(H922,Master_Produk!$A$2:$A$11,0))</f>
        <v>Elektronik</v>
      </c>
      <c r="K922" s="8">
        <f>INDEX(Master_Produk!$E$2:$E$11,MATCH(Data_Transaksi!H922,Master_Produk!$A$2:$A$11,0))</f>
        <v>1800000</v>
      </c>
      <c r="L922" s="8">
        <f t="shared" si="59"/>
        <v>3600000</v>
      </c>
      <c r="M922" s="8">
        <f>INDEX(Master_Target!$B$2:$M$4, MATCH(J922, Master_Target!$A$2:$A$4, 0), MATCH(TEXT(B922, "[$-421]mmmm"), Master_Target!$B$1:$M$1, 0))</f>
        <v>110000000</v>
      </c>
    </row>
    <row r="923" spans="1:13" x14ac:dyDescent="0.25">
      <c r="A923" s="7" t="s">
        <v>932</v>
      </c>
      <c r="B923" s="11" t="s">
        <v>1321</v>
      </c>
      <c r="C923" s="7">
        <f t="shared" si="56"/>
        <v>12</v>
      </c>
      <c r="D923" s="7" t="str">
        <f t="shared" si="57"/>
        <v>Dec</v>
      </c>
      <c r="E923" s="7" t="s">
        <v>1356</v>
      </c>
      <c r="F923" s="7" t="str">
        <f t="shared" si="58"/>
        <v>Eko Prasetyo</v>
      </c>
      <c r="G923" s="7" t="s">
        <v>1360</v>
      </c>
      <c r="H923" s="7" t="s">
        <v>1369</v>
      </c>
      <c r="I923" s="7">
        <v>1</v>
      </c>
      <c r="J923" s="7" t="str">
        <f>INDEX(Master_Produk!$C$2:$C$11,MATCH(H923,Master_Produk!$A$2:$A$11,0))</f>
        <v>Elektronik</v>
      </c>
      <c r="K923" s="8">
        <f>INDEX(Master_Produk!$E$2:$E$11,MATCH(Data_Transaksi!H923,Master_Produk!$A$2:$A$11,0))</f>
        <v>4500000</v>
      </c>
      <c r="L923" s="8">
        <f t="shared" si="59"/>
        <v>4500000</v>
      </c>
      <c r="M923" s="8">
        <f>INDEX(Master_Target!$B$2:$M$4, MATCH(J923, Master_Target!$A$2:$A$4, 0), MATCH(TEXT(B923, "[$-421]mmmm"), Master_Target!$B$1:$M$1, 0))</f>
        <v>110000000</v>
      </c>
    </row>
    <row r="924" spans="1:13" x14ac:dyDescent="0.25">
      <c r="A924" s="7" t="s">
        <v>933</v>
      </c>
      <c r="B924" s="11" t="s">
        <v>1321</v>
      </c>
      <c r="C924" s="7">
        <f t="shared" si="56"/>
        <v>12</v>
      </c>
      <c r="D924" s="7" t="str">
        <f t="shared" si="57"/>
        <v>Dec</v>
      </c>
      <c r="E924" s="7" t="s">
        <v>1354</v>
      </c>
      <c r="F924" s="7" t="str">
        <f t="shared" si="58"/>
        <v>Mega Utami</v>
      </c>
      <c r="G924" s="7" t="s">
        <v>1360</v>
      </c>
      <c r="H924" s="7" t="s">
        <v>1369</v>
      </c>
      <c r="I924" s="7">
        <v>2</v>
      </c>
      <c r="J924" s="7" t="str">
        <f>INDEX(Master_Produk!$C$2:$C$11,MATCH(H924,Master_Produk!$A$2:$A$11,0))</f>
        <v>Elektronik</v>
      </c>
      <c r="K924" s="8">
        <f>INDEX(Master_Produk!$E$2:$E$11,MATCH(Data_Transaksi!H924,Master_Produk!$A$2:$A$11,0))</f>
        <v>4500000</v>
      </c>
      <c r="L924" s="8">
        <f t="shared" si="59"/>
        <v>9000000</v>
      </c>
      <c r="M924" s="8">
        <f>INDEX(Master_Target!$B$2:$M$4, MATCH(J924, Master_Target!$A$2:$A$4, 0), MATCH(TEXT(B924, "[$-421]mmmm"), Master_Target!$B$1:$M$1, 0))</f>
        <v>110000000</v>
      </c>
    </row>
    <row r="925" spans="1:13" x14ac:dyDescent="0.25">
      <c r="A925" s="7" t="s">
        <v>934</v>
      </c>
      <c r="B925" s="11" t="s">
        <v>1322</v>
      </c>
      <c r="C925" s="7">
        <f t="shared" si="56"/>
        <v>12</v>
      </c>
      <c r="D925" s="7" t="str">
        <f t="shared" si="57"/>
        <v>Dec</v>
      </c>
      <c r="E925" s="7" t="s">
        <v>1356</v>
      </c>
      <c r="F925" s="7" t="str">
        <f t="shared" si="58"/>
        <v>Eko Prasetyo</v>
      </c>
      <c r="G925" s="7" t="s">
        <v>1357</v>
      </c>
      <c r="H925" s="7" t="s">
        <v>1370</v>
      </c>
      <c r="I925" s="7">
        <v>5</v>
      </c>
      <c r="J925" s="7" t="str">
        <f>INDEX(Master_Produk!$C$2:$C$11,MATCH(H925,Master_Produk!$A$2:$A$11,0))</f>
        <v>Furnitur</v>
      </c>
      <c r="K925" s="8">
        <f>INDEX(Master_Produk!$E$2:$E$11,MATCH(Data_Transaksi!H925,Master_Produk!$A$2:$A$11,0))</f>
        <v>1200000</v>
      </c>
      <c r="L925" s="8">
        <f t="shared" si="59"/>
        <v>6000000</v>
      </c>
      <c r="M925" s="8">
        <f>INDEX(Master_Target!$B$2:$M$4, MATCH(J925, Master_Target!$A$2:$A$4, 0), MATCH(TEXT(B925, "[$-421]mmmm"), Master_Target!$B$1:$M$1, 0))</f>
        <v>45000000</v>
      </c>
    </row>
    <row r="926" spans="1:13" x14ac:dyDescent="0.25">
      <c r="A926" s="7" t="s">
        <v>935</v>
      </c>
      <c r="B926" s="11" t="s">
        <v>1322</v>
      </c>
      <c r="C926" s="7">
        <f t="shared" si="56"/>
        <v>12</v>
      </c>
      <c r="D926" s="7" t="str">
        <f t="shared" si="57"/>
        <v>Dec</v>
      </c>
      <c r="E926" s="7" t="s">
        <v>1356</v>
      </c>
      <c r="F926" s="7" t="str">
        <f t="shared" si="58"/>
        <v>Eko Prasetyo</v>
      </c>
      <c r="G926" s="7" t="s">
        <v>1358</v>
      </c>
      <c r="H926" s="7" t="s">
        <v>1371</v>
      </c>
      <c r="I926" s="7">
        <v>1</v>
      </c>
      <c r="J926" s="7" t="str">
        <f>INDEX(Master_Produk!$C$2:$C$11,MATCH(H926,Master_Produk!$A$2:$A$11,0))</f>
        <v>Pakaian</v>
      </c>
      <c r="K926" s="8">
        <f>INDEX(Master_Produk!$E$2:$E$11,MATCH(Data_Transaksi!H926,Master_Produk!$A$2:$A$11,0))</f>
        <v>280000</v>
      </c>
      <c r="L926" s="8">
        <f t="shared" si="59"/>
        <v>280000</v>
      </c>
      <c r="M926" s="8">
        <f>INDEX(Master_Target!$B$2:$M$4, MATCH(J926, Master_Target!$A$2:$A$4, 0), MATCH(TEXT(B926, "[$-421]mmmm"), Master_Target!$B$1:$M$1, 0))</f>
        <v>35000000</v>
      </c>
    </row>
    <row r="927" spans="1:13" x14ac:dyDescent="0.25">
      <c r="A927" s="7" t="s">
        <v>936</v>
      </c>
      <c r="B927" s="11" t="s">
        <v>1323</v>
      </c>
      <c r="C927" s="7">
        <f t="shared" si="56"/>
        <v>12</v>
      </c>
      <c r="D927" s="7" t="str">
        <f t="shared" si="57"/>
        <v>Dec</v>
      </c>
      <c r="E927" s="7" t="s">
        <v>1347</v>
      </c>
      <c r="F927" s="7" t="str">
        <f t="shared" si="58"/>
        <v>Rina Marlina</v>
      </c>
      <c r="G927" s="7" t="s">
        <v>1360</v>
      </c>
      <c r="H927" s="7" t="s">
        <v>1363</v>
      </c>
      <c r="I927" s="7">
        <v>2</v>
      </c>
      <c r="J927" s="7" t="str">
        <f>INDEX(Master_Produk!$C$2:$C$11,MATCH(H927,Master_Produk!$A$2:$A$11,0))</f>
        <v>Pakaian</v>
      </c>
      <c r="K927" s="8">
        <f>INDEX(Master_Produk!$E$2:$E$11,MATCH(Data_Transaksi!H927,Master_Produk!$A$2:$A$11,0))</f>
        <v>250000</v>
      </c>
      <c r="L927" s="8">
        <f t="shared" si="59"/>
        <v>500000</v>
      </c>
      <c r="M927" s="8">
        <f>INDEX(Master_Target!$B$2:$M$4, MATCH(J927, Master_Target!$A$2:$A$4, 0), MATCH(TEXT(B927, "[$-421]mmmm"), Master_Target!$B$1:$M$1, 0))</f>
        <v>35000000</v>
      </c>
    </row>
    <row r="928" spans="1:13" x14ac:dyDescent="0.25">
      <c r="A928" s="7" t="s">
        <v>937</v>
      </c>
      <c r="B928" s="11" t="s">
        <v>1323</v>
      </c>
      <c r="C928" s="7">
        <f t="shared" si="56"/>
        <v>12</v>
      </c>
      <c r="D928" s="7" t="str">
        <f t="shared" si="57"/>
        <v>Dec</v>
      </c>
      <c r="E928" s="7" t="s">
        <v>1351</v>
      </c>
      <c r="F928" s="7" t="str">
        <f t="shared" si="58"/>
        <v>Siti Rahma</v>
      </c>
      <c r="G928" s="7" t="s">
        <v>1361</v>
      </c>
      <c r="H928" s="7" t="s">
        <v>1371</v>
      </c>
      <c r="I928" s="7">
        <v>1</v>
      </c>
      <c r="J928" s="7" t="str">
        <f>INDEX(Master_Produk!$C$2:$C$11,MATCH(H928,Master_Produk!$A$2:$A$11,0))</f>
        <v>Pakaian</v>
      </c>
      <c r="K928" s="8">
        <f>INDEX(Master_Produk!$E$2:$E$11,MATCH(Data_Transaksi!H928,Master_Produk!$A$2:$A$11,0))</f>
        <v>280000</v>
      </c>
      <c r="L928" s="8">
        <f t="shared" si="59"/>
        <v>280000</v>
      </c>
      <c r="M928" s="8">
        <f>INDEX(Master_Target!$B$2:$M$4, MATCH(J928, Master_Target!$A$2:$A$4, 0), MATCH(TEXT(B928, "[$-421]mmmm"), Master_Target!$B$1:$M$1, 0))</f>
        <v>35000000</v>
      </c>
    </row>
    <row r="929" spans="1:13" x14ac:dyDescent="0.25">
      <c r="A929" s="7" t="s">
        <v>938</v>
      </c>
      <c r="B929" s="11" t="s">
        <v>1323</v>
      </c>
      <c r="C929" s="7">
        <f t="shared" si="56"/>
        <v>12</v>
      </c>
      <c r="D929" s="7" t="str">
        <f t="shared" si="57"/>
        <v>Dec</v>
      </c>
      <c r="E929" s="7" t="s">
        <v>1356</v>
      </c>
      <c r="F929" s="7" t="str">
        <f t="shared" si="58"/>
        <v>Eko Prasetyo</v>
      </c>
      <c r="G929" s="7" t="s">
        <v>1360</v>
      </c>
      <c r="H929" s="7" t="s">
        <v>1367</v>
      </c>
      <c r="I929" s="7">
        <v>2</v>
      </c>
      <c r="J929" s="7" t="str">
        <f>INDEX(Master_Produk!$C$2:$C$11,MATCH(H929,Master_Produk!$A$2:$A$11,0))</f>
        <v>Elektronik</v>
      </c>
      <c r="K929" s="8">
        <f>INDEX(Master_Produk!$E$2:$E$11,MATCH(Data_Transaksi!H929,Master_Produk!$A$2:$A$11,0))</f>
        <v>250000</v>
      </c>
      <c r="L929" s="8">
        <f t="shared" si="59"/>
        <v>500000</v>
      </c>
      <c r="M929" s="8">
        <f>INDEX(Master_Target!$B$2:$M$4, MATCH(J929, Master_Target!$A$2:$A$4, 0), MATCH(TEXT(B929, "[$-421]mmmm"), Master_Target!$B$1:$M$1, 0))</f>
        <v>110000000</v>
      </c>
    </row>
    <row r="930" spans="1:13" x14ac:dyDescent="0.25">
      <c r="A930" s="7" t="s">
        <v>939</v>
      </c>
      <c r="B930" s="11" t="s">
        <v>1323</v>
      </c>
      <c r="C930" s="7">
        <f t="shared" si="56"/>
        <v>12</v>
      </c>
      <c r="D930" s="7" t="str">
        <f t="shared" si="57"/>
        <v>Dec</v>
      </c>
      <c r="E930" s="7" t="s">
        <v>1354</v>
      </c>
      <c r="F930" s="7" t="str">
        <f t="shared" si="58"/>
        <v>Mega Utami</v>
      </c>
      <c r="G930" s="7" t="s">
        <v>1360</v>
      </c>
      <c r="H930" s="7" t="s">
        <v>1364</v>
      </c>
      <c r="I930" s="7">
        <v>1</v>
      </c>
      <c r="J930" s="7" t="str">
        <f>INDEX(Master_Produk!$C$2:$C$11,MATCH(H930,Master_Produk!$A$2:$A$11,0))</f>
        <v>Furnitur</v>
      </c>
      <c r="K930" s="8">
        <f>INDEX(Master_Produk!$E$2:$E$11,MATCH(Data_Transaksi!H930,Master_Produk!$A$2:$A$11,0))</f>
        <v>950000</v>
      </c>
      <c r="L930" s="8">
        <f t="shared" si="59"/>
        <v>950000</v>
      </c>
      <c r="M930" s="8">
        <f>INDEX(Master_Target!$B$2:$M$4, MATCH(J930, Master_Target!$A$2:$A$4, 0), MATCH(TEXT(B930, "[$-421]mmmm"), Master_Target!$B$1:$M$1, 0))</f>
        <v>45000000</v>
      </c>
    </row>
    <row r="931" spans="1:13" x14ac:dyDescent="0.25">
      <c r="A931" s="7" t="s">
        <v>940</v>
      </c>
      <c r="B931" s="11" t="s">
        <v>1323</v>
      </c>
      <c r="C931" s="7">
        <f t="shared" si="56"/>
        <v>12</v>
      </c>
      <c r="D931" s="7" t="str">
        <f t="shared" si="57"/>
        <v>Dec</v>
      </c>
      <c r="E931" s="7" t="s">
        <v>1355</v>
      </c>
      <c r="F931" s="7" t="str">
        <f t="shared" si="58"/>
        <v>Bambang H.</v>
      </c>
      <c r="G931" s="7" t="s">
        <v>1360</v>
      </c>
      <c r="H931" s="7" t="s">
        <v>1368</v>
      </c>
      <c r="I931" s="7">
        <v>2</v>
      </c>
      <c r="J931" s="7" t="str">
        <f>INDEX(Master_Produk!$C$2:$C$11,MATCH(H931,Master_Produk!$A$2:$A$11,0))</f>
        <v>Furnitur</v>
      </c>
      <c r="K931" s="8">
        <f>INDEX(Master_Produk!$E$2:$E$11,MATCH(Data_Transaksi!H931,Master_Produk!$A$2:$A$11,0))</f>
        <v>650000</v>
      </c>
      <c r="L931" s="8">
        <f t="shared" si="59"/>
        <v>1300000</v>
      </c>
      <c r="M931" s="8">
        <f>INDEX(Master_Target!$B$2:$M$4, MATCH(J931, Master_Target!$A$2:$A$4, 0), MATCH(TEXT(B931, "[$-421]mmmm"), Master_Target!$B$1:$M$1, 0))</f>
        <v>45000000</v>
      </c>
    </row>
    <row r="932" spans="1:13" x14ac:dyDescent="0.25">
      <c r="A932" s="7" t="s">
        <v>941</v>
      </c>
      <c r="B932" s="11" t="s">
        <v>1324</v>
      </c>
      <c r="C932" s="7">
        <f t="shared" si="56"/>
        <v>12</v>
      </c>
      <c r="D932" s="7" t="str">
        <f t="shared" si="57"/>
        <v>Dec</v>
      </c>
      <c r="E932" s="7" t="s">
        <v>1349</v>
      </c>
      <c r="F932" s="7" t="str">
        <f t="shared" si="58"/>
        <v>Dewi Lestari</v>
      </c>
      <c r="G932" s="7" t="s">
        <v>1359</v>
      </c>
      <c r="H932" s="7" t="s">
        <v>1367</v>
      </c>
      <c r="I932" s="7">
        <v>3</v>
      </c>
      <c r="J932" s="7" t="str">
        <f>INDEX(Master_Produk!$C$2:$C$11,MATCH(H932,Master_Produk!$A$2:$A$11,0))</f>
        <v>Elektronik</v>
      </c>
      <c r="K932" s="8">
        <f>INDEX(Master_Produk!$E$2:$E$11,MATCH(Data_Transaksi!H932,Master_Produk!$A$2:$A$11,0))</f>
        <v>250000</v>
      </c>
      <c r="L932" s="8">
        <f t="shared" si="59"/>
        <v>750000</v>
      </c>
      <c r="M932" s="8">
        <f>INDEX(Master_Target!$B$2:$M$4, MATCH(J932, Master_Target!$A$2:$A$4, 0), MATCH(TEXT(B932, "[$-421]mmmm"), Master_Target!$B$1:$M$1, 0))</f>
        <v>110000000</v>
      </c>
    </row>
    <row r="933" spans="1:13" x14ac:dyDescent="0.25">
      <c r="A933" s="7" t="s">
        <v>942</v>
      </c>
      <c r="B933" s="11" t="s">
        <v>1324</v>
      </c>
      <c r="C933" s="7">
        <f t="shared" si="56"/>
        <v>12</v>
      </c>
      <c r="D933" s="7" t="str">
        <f t="shared" si="57"/>
        <v>Dec</v>
      </c>
      <c r="E933" s="7" t="s">
        <v>1354</v>
      </c>
      <c r="F933" s="7" t="str">
        <f t="shared" si="58"/>
        <v>Mega Utami</v>
      </c>
      <c r="G933" s="7" t="s">
        <v>1361</v>
      </c>
      <c r="H933" s="7" t="s">
        <v>1371</v>
      </c>
      <c r="I933" s="7">
        <v>1</v>
      </c>
      <c r="J933" s="7" t="str">
        <f>INDEX(Master_Produk!$C$2:$C$11,MATCH(H933,Master_Produk!$A$2:$A$11,0))</f>
        <v>Pakaian</v>
      </c>
      <c r="K933" s="8">
        <f>INDEX(Master_Produk!$E$2:$E$11,MATCH(Data_Transaksi!H933,Master_Produk!$A$2:$A$11,0))</f>
        <v>280000</v>
      </c>
      <c r="L933" s="8">
        <f t="shared" si="59"/>
        <v>280000</v>
      </c>
      <c r="M933" s="8">
        <f>INDEX(Master_Target!$B$2:$M$4, MATCH(J933, Master_Target!$A$2:$A$4, 0), MATCH(TEXT(B933, "[$-421]mmmm"), Master_Target!$B$1:$M$1, 0))</f>
        <v>35000000</v>
      </c>
    </row>
    <row r="934" spans="1:13" x14ac:dyDescent="0.25">
      <c r="A934" s="7" t="s">
        <v>943</v>
      </c>
      <c r="B934" s="11" t="s">
        <v>1324</v>
      </c>
      <c r="C934" s="7">
        <f t="shared" si="56"/>
        <v>12</v>
      </c>
      <c r="D934" s="7" t="str">
        <f t="shared" si="57"/>
        <v>Dec</v>
      </c>
      <c r="E934" s="7" t="s">
        <v>1352</v>
      </c>
      <c r="F934" s="7" t="str">
        <f t="shared" si="58"/>
        <v>Ahmad Fauzi</v>
      </c>
      <c r="G934" s="7" t="s">
        <v>1357</v>
      </c>
      <c r="H934" s="7" t="s">
        <v>1367</v>
      </c>
      <c r="I934" s="7">
        <v>2</v>
      </c>
      <c r="J934" s="7" t="str">
        <f>INDEX(Master_Produk!$C$2:$C$11,MATCH(H934,Master_Produk!$A$2:$A$11,0))</f>
        <v>Elektronik</v>
      </c>
      <c r="K934" s="8">
        <f>INDEX(Master_Produk!$E$2:$E$11,MATCH(Data_Transaksi!H934,Master_Produk!$A$2:$A$11,0))</f>
        <v>250000</v>
      </c>
      <c r="L934" s="8">
        <f t="shared" si="59"/>
        <v>500000</v>
      </c>
      <c r="M934" s="8">
        <f>INDEX(Master_Target!$B$2:$M$4, MATCH(J934, Master_Target!$A$2:$A$4, 0), MATCH(TEXT(B934, "[$-421]mmmm"), Master_Target!$B$1:$M$1, 0))</f>
        <v>110000000</v>
      </c>
    </row>
    <row r="935" spans="1:13" x14ac:dyDescent="0.25">
      <c r="A935" s="7" t="s">
        <v>944</v>
      </c>
      <c r="B935" s="11" t="s">
        <v>1325</v>
      </c>
      <c r="C935" s="7">
        <f t="shared" si="56"/>
        <v>12</v>
      </c>
      <c r="D935" s="7" t="str">
        <f t="shared" si="57"/>
        <v>Dec</v>
      </c>
      <c r="E935" s="7" t="s">
        <v>1348</v>
      </c>
      <c r="F935" s="7" t="str">
        <f t="shared" si="58"/>
        <v>Budi Santoso</v>
      </c>
      <c r="G935" s="7" t="s">
        <v>1358</v>
      </c>
      <c r="H935" s="7" t="s">
        <v>1369</v>
      </c>
      <c r="I935" s="7">
        <v>3</v>
      </c>
      <c r="J935" s="7" t="str">
        <f>INDEX(Master_Produk!$C$2:$C$11,MATCH(H935,Master_Produk!$A$2:$A$11,0))</f>
        <v>Elektronik</v>
      </c>
      <c r="K935" s="8">
        <f>INDEX(Master_Produk!$E$2:$E$11,MATCH(Data_Transaksi!H935,Master_Produk!$A$2:$A$11,0))</f>
        <v>4500000</v>
      </c>
      <c r="L935" s="8">
        <f t="shared" si="59"/>
        <v>13500000</v>
      </c>
      <c r="M935" s="8">
        <f>INDEX(Master_Target!$B$2:$M$4, MATCH(J935, Master_Target!$A$2:$A$4, 0), MATCH(TEXT(B935, "[$-421]mmmm"), Master_Target!$B$1:$M$1, 0))</f>
        <v>110000000</v>
      </c>
    </row>
    <row r="936" spans="1:13" x14ac:dyDescent="0.25">
      <c r="A936" s="7" t="s">
        <v>945</v>
      </c>
      <c r="B936" s="11" t="s">
        <v>1325</v>
      </c>
      <c r="C936" s="7">
        <f t="shared" si="56"/>
        <v>12</v>
      </c>
      <c r="D936" s="7" t="str">
        <f t="shared" si="57"/>
        <v>Dec</v>
      </c>
      <c r="E936" s="7" t="s">
        <v>1355</v>
      </c>
      <c r="F936" s="7" t="str">
        <f t="shared" si="58"/>
        <v>Bambang H.</v>
      </c>
      <c r="G936" s="7" t="s">
        <v>1358</v>
      </c>
      <c r="H936" s="7" t="s">
        <v>1367</v>
      </c>
      <c r="I936" s="7">
        <v>4</v>
      </c>
      <c r="J936" s="7" t="str">
        <f>INDEX(Master_Produk!$C$2:$C$11,MATCH(H936,Master_Produk!$A$2:$A$11,0))</f>
        <v>Elektronik</v>
      </c>
      <c r="K936" s="8">
        <f>INDEX(Master_Produk!$E$2:$E$11,MATCH(Data_Transaksi!H936,Master_Produk!$A$2:$A$11,0))</f>
        <v>250000</v>
      </c>
      <c r="L936" s="8">
        <f t="shared" si="59"/>
        <v>1000000</v>
      </c>
      <c r="M936" s="8">
        <f>INDEX(Master_Target!$B$2:$M$4, MATCH(J936, Master_Target!$A$2:$A$4, 0), MATCH(TEXT(B936, "[$-421]mmmm"), Master_Target!$B$1:$M$1, 0))</f>
        <v>110000000</v>
      </c>
    </row>
    <row r="937" spans="1:13" x14ac:dyDescent="0.25">
      <c r="A937" s="7" t="s">
        <v>946</v>
      </c>
      <c r="B937" s="11" t="s">
        <v>1325</v>
      </c>
      <c r="C937" s="7">
        <f t="shared" si="56"/>
        <v>12</v>
      </c>
      <c r="D937" s="7" t="str">
        <f t="shared" si="57"/>
        <v>Dec</v>
      </c>
      <c r="E937" s="7" t="s">
        <v>1347</v>
      </c>
      <c r="F937" s="7" t="str">
        <f t="shared" si="58"/>
        <v>Rina Marlina</v>
      </c>
      <c r="G937" s="7" t="s">
        <v>1357</v>
      </c>
      <c r="H937" s="7" t="s">
        <v>1367</v>
      </c>
      <c r="I937" s="7">
        <v>1</v>
      </c>
      <c r="J937" s="7" t="str">
        <f>INDEX(Master_Produk!$C$2:$C$11,MATCH(H937,Master_Produk!$A$2:$A$11,0))</f>
        <v>Elektronik</v>
      </c>
      <c r="K937" s="8">
        <f>INDEX(Master_Produk!$E$2:$E$11,MATCH(Data_Transaksi!H937,Master_Produk!$A$2:$A$11,0))</f>
        <v>250000</v>
      </c>
      <c r="L937" s="8">
        <f t="shared" si="59"/>
        <v>250000</v>
      </c>
      <c r="M937" s="8">
        <f>INDEX(Master_Target!$B$2:$M$4, MATCH(J937, Master_Target!$A$2:$A$4, 0), MATCH(TEXT(B937, "[$-421]mmmm"), Master_Target!$B$1:$M$1, 0))</f>
        <v>110000000</v>
      </c>
    </row>
    <row r="938" spans="1:13" x14ac:dyDescent="0.25">
      <c r="A938" s="7" t="s">
        <v>947</v>
      </c>
      <c r="B938" s="11" t="s">
        <v>1325</v>
      </c>
      <c r="C938" s="7">
        <f t="shared" si="56"/>
        <v>12</v>
      </c>
      <c r="D938" s="7" t="str">
        <f t="shared" si="57"/>
        <v>Dec</v>
      </c>
      <c r="E938" s="7" t="s">
        <v>1356</v>
      </c>
      <c r="F938" s="7" t="str">
        <f t="shared" si="58"/>
        <v>Eko Prasetyo</v>
      </c>
      <c r="G938" s="7" t="s">
        <v>1359</v>
      </c>
      <c r="H938" s="7" t="s">
        <v>1371</v>
      </c>
      <c r="I938" s="7">
        <v>1</v>
      </c>
      <c r="J938" s="7" t="str">
        <f>INDEX(Master_Produk!$C$2:$C$11,MATCH(H938,Master_Produk!$A$2:$A$11,0))</f>
        <v>Pakaian</v>
      </c>
      <c r="K938" s="8">
        <f>INDEX(Master_Produk!$E$2:$E$11,MATCH(Data_Transaksi!H938,Master_Produk!$A$2:$A$11,0))</f>
        <v>280000</v>
      </c>
      <c r="L938" s="8">
        <f t="shared" si="59"/>
        <v>280000</v>
      </c>
      <c r="M938" s="8">
        <f>INDEX(Master_Target!$B$2:$M$4, MATCH(J938, Master_Target!$A$2:$A$4, 0), MATCH(TEXT(B938, "[$-421]mmmm"), Master_Target!$B$1:$M$1, 0))</f>
        <v>35000000</v>
      </c>
    </row>
    <row r="939" spans="1:13" x14ac:dyDescent="0.25">
      <c r="A939" s="7" t="s">
        <v>948</v>
      </c>
      <c r="B939" s="11" t="s">
        <v>1325</v>
      </c>
      <c r="C939" s="7">
        <f t="shared" si="56"/>
        <v>12</v>
      </c>
      <c r="D939" s="7" t="str">
        <f t="shared" si="57"/>
        <v>Dec</v>
      </c>
      <c r="E939" s="7" t="s">
        <v>1349</v>
      </c>
      <c r="F939" s="7" t="str">
        <f t="shared" si="58"/>
        <v>Dewi Lestari</v>
      </c>
      <c r="G939" s="7" t="s">
        <v>1358</v>
      </c>
      <c r="H939" s="7" t="s">
        <v>1369</v>
      </c>
      <c r="I939" s="7">
        <v>1</v>
      </c>
      <c r="J939" s="7" t="str">
        <f>INDEX(Master_Produk!$C$2:$C$11,MATCH(H939,Master_Produk!$A$2:$A$11,0))</f>
        <v>Elektronik</v>
      </c>
      <c r="K939" s="8">
        <f>INDEX(Master_Produk!$E$2:$E$11,MATCH(Data_Transaksi!H939,Master_Produk!$A$2:$A$11,0))</f>
        <v>4500000</v>
      </c>
      <c r="L939" s="8">
        <f t="shared" si="59"/>
        <v>4500000</v>
      </c>
      <c r="M939" s="8">
        <f>INDEX(Master_Target!$B$2:$M$4, MATCH(J939, Master_Target!$A$2:$A$4, 0), MATCH(TEXT(B939, "[$-421]mmmm"), Master_Target!$B$1:$M$1, 0))</f>
        <v>110000000</v>
      </c>
    </row>
    <row r="940" spans="1:13" x14ac:dyDescent="0.25">
      <c r="A940" s="7" t="s">
        <v>949</v>
      </c>
      <c r="B940" s="11" t="s">
        <v>1325</v>
      </c>
      <c r="C940" s="7">
        <f t="shared" si="56"/>
        <v>12</v>
      </c>
      <c r="D940" s="7" t="str">
        <f t="shared" si="57"/>
        <v>Dec</v>
      </c>
      <c r="E940" s="7" t="s">
        <v>1356</v>
      </c>
      <c r="F940" s="7" t="str">
        <f t="shared" si="58"/>
        <v>Eko Prasetyo</v>
      </c>
      <c r="G940" s="7" t="s">
        <v>1360</v>
      </c>
      <c r="H940" s="7" t="s">
        <v>1363</v>
      </c>
      <c r="I940" s="7">
        <v>10</v>
      </c>
      <c r="J940" s="7" t="str">
        <f>INDEX(Master_Produk!$C$2:$C$11,MATCH(H940,Master_Produk!$A$2:$A$11,0))</f>
        <v>Pakaian</v>
      </c>
      <c r="K940" s="8">
        <f>INDEX(Master_Produk!$E$2:$E$11,MATCH(Data_Transaksi!H940,Master_Produk!$A$2:$A$11,0))</f>
        <v>250000</v>
      </c>
      <c r="L940" s="8">
        <f t="shared" si="59"/>
        <v>2500000</v>
      </c>
      <c r="M940" s="8">
        <f>INDEX(Master_Target!$B$2:$M$4, MATCH(J940, Master_Target!$A$2:$A$4, 0), MATCH(TEXT(B940, "[$-421]mmmm"), Master_Target!$B$1:$M$1, 0))</f>
        <v>35000000</v>
      </c>
    </row>
    <row r="941" spans="1:13" x14ac:dyDescent="0.25">
      <c r="A941" s="7" t="s">
        <v>950</v>
      </c>
      <c r="B941" s="11" t="s">
        <v>1326</v>
      </c>
      <c r="C941" s="7">
        <f t="shared" si="56"/>
        <v>12</v>
      </c>
      <c r="D941" s="7" t="str">
        <f t="shared" si="57"/>
        <v>Dec</v>
      </c>
      <c r="E941" s="7" t="s">
        <v>1347</v>
      </c>
      <c r="F941" s="7" t="str">
        <f t="shared" si="58"/>
        <v>Rina Marlina</v>
      </c>
      <c r="G941" s="7" t="s">
        <v>1358</v>
      </c>
      <c r="H941" s="7" t="s">
        <v>1366</v>
      </c>
      <c r="I941" s="7">
        <v>4</v>
      </c>
      <c r="J941" s="7" t="str">
        <f>INDEX(Master_Produk!$C$2:$C$11,MATCH(H941,Master_Produk!$A$2:$A$11,0))</f>
        <v>Elektronik</v>
      </c>
      <c r="K941" s="8">
        <f>INDEX(Master_Produk!$E$2:$E$11,MATCH(Data_Transaksi!H941,Master_Produk!$A$2:$A$11,0))</f>
        <v>7500000</v>
      </c>
      <c r="L941" s="8">
        <f t="shared" si="59"/>
        <v>30000000</v>
      </c>
      <c r="M941" s="8">
        <f>INDEX(Master_Target!$B$2:$M$4, MATCH(J941, Master_Target!$A$2:$A$4, 0), MATCH(TEXT(B941, "[$-421]mmmm"), Master_Target!$B$1:$M$1, 0))</f>
        <v>110000000</v>
      </c>
    </row>
    <row r="942" spans="1:13" x14ac:dyDescent="0.25">
      <c r="A942" s="7" t="s">
        <v>951</v>
      </c>
      <c r="B942" s="11" t="s">
        <v>1327</v>
      </c>
      <c r="C942" s="7">
        <f t="shared" si="56"/>
        <v>12</v>
      </c>
      <c r="D942" s="7" t="str">
        <f t="shared" si="57"/>
        <v>Dec</v>
      </c>
      <c r="E942" s="7" t="s">
        <v>1354</v>
      </c>
      <c r="F942" s="7" t="str">
        <f t="shared" si="58"/>
        <v>Mega Utami</v>
      </c>
      <c r="G942" s="7" t="s">
        <v>1361</v>
      </c>
      <c r="H942" s="7" t="s">
        <v>1369</v>
      </c>
      <c r="I942" s="7">
        <v>2</v>
      </c>
      <c r="J942" s="7" t="str">
        <f>INDEX(Master_Produk!$C$2:$C$11,MATCH(H942,Master_Produk!$A$2:$A$11,0))</f>
        <v>Elektronik</v>
      </c>
      <c r="K942" s="8">
        <f>INDEX(Master_Produk!$E$2:$E$11,MATCH(Data_Transaksi!H942,Master_Produk!$A$2:$A$11,0))</f>
        <v>4500000</v>
      </c>
      <c r="L942" s="8">
        <f t="shared" si="59"/>
        <v>9000000</v>
      </c>
      <c r="M942" s="8">
        <f>INDEX(Master_Target!$B$2:$M$4, MATCH(J942, Master_Target!$A$2:$A$4, 0), MATCH(TEXT(B942, "[$-421]mmmm"), Master_Target!$B$1:$M$1, 0))</f>
        <v>110000000</v>
      </c>
    </row>
    <row r="943" spans="1:13" x14ac:dyDescent="0.25">
      <c r="A943" s="7" t="s">
        <v>952</v>
      </c>
      <c r="B943" s="11" t="s">
        <v>1327</v>
      </c>
      <c r="C943" s="7">
        <f t="shared" si="56"/>
        <v>12</v>
      </c>
      <c r="D943" s="7" t="str">
        <f t="shared" si="57"/>
        <v>Dec</v>
      </c>
      <c r="E943" s="7" t="s">
        <v>1352</v>
      </c>
      <c r="F943" s="7" t="str">
        <f t="shared" si="58"/>
        <v>Ahmad Fauzi</v>
      </c>
      <c r="G943" s="7" t="s">
        <v>1361</v>
      </c>
      <c r="H943" s="7" t="s">
        <v>1366</v>
      </c>
      <c r="I943" s="7">
        <v>3</v>
      </c>
      <c r="J943" s="7" t="str">
        <f>INDEX(Master_Produk!$C$2:$C$11,MATCH(H943,Master_Produk!$A$2:$A$11,0))</f>
        <v>Elektronik</v>
      </c>
      <c r="K943" s="8">
        <f>INDEX(Master_Produk!$E$2:$E$11,MATCH(Data_Transaksi!H943,Master_Produk!$A$2:$A$11,0))</f>
        <v>7500000</v>
      </c>
      <c r="L943" s="8">
        <f t="shared" si="59"/>
        <v>22500000</v>
      </c>
      <c r="M943" s="8">
        <f>INDEX(Master_Target!$B$2:$M$4, MATCH(J943, Master_Target!$A$2:$A$4, 0), MATCH(TEXT(B943, "[$-421]mmmm"), Master_Target!$B$1:$M$1, 0))</f>
        <v>110000000</v>
      </c>
    </row>
    <row r="944" spans="1:13" x14ac:dyDescent="0.25">
      <c r="A944" s="7" t="s">
        <v>953</v>
      </c>
      <c r="B944" s="11" t="s">
        <v>1328</v>
      </c>
      <c r="C944" s="7">
        <f t="shared" si="56"/>
        <v>12</v>
      </c>
      <c r="D944" s="7" t="str">
        <f t="shared" si="57"/>
        <v>Dec</v>
      </c>
      <c r="E944" s="7" t="s">
        <v>1348</v>
      </c>
      <c r="F944" s="7" t="str">
        <f t="shared" si="58"/>
        <v>Budi Santoso</v>
      </c>
      <c r="G944" s="7" t="s">
        <v>1357</v>
      </c>
      <c r="H944" s="7" t="s">
        <v>1371</v>
      </c>
      <c r="I944" s="7">
        <v>2</v>
      </c>
      <c r="J944" s="7" t="str">
        <f>INDEX(Master_Produk!$C$2:$C$11,MATCH(H944,Master_Produk!$A$2:$A$11,0))</f>
        <v>Pakaian</v>
      </c>
      <c r="K944" s="8">
        <f>INDEX(Master_Produk!$E$2:$E$11,MATCH(Data_Transaksi!H944,Master_Produk!$A$2:$A$11,0))</f>
        <v>280000</v>
      </c>
      <c r="L944" s="8">
        <f t="shared" si="59"/>
        <v>560000</v>
      </c>
      <c r="M944" s="8">
        <f>INDEX(Master_Target!$B$2:$M$4, MATCH(J944, Master_Target!$A$2:$A$4, 0), MATCH(TEXT(B944, "[$-421]mmmm"), Master_Target!$B$1:$M$1, 0))</f>
        <v>35000000</v>
      </c>
    </row>
    <row r="945" spans="1:13" x14ac:dyDescent="0.25">
      <c r="A945" s="7" t="s">
        <v>954</v>
      </c>
      <c r="B945" s="11" t="s">
        <v>1328</v>
      </c>
      <c r="C945" s="7">
        <f t="shared" si="56"/>
        <v>12</v>
      </c>
      <c r="D945" s="7" t="str">
        <f t="shared" si="57"/>
        <v>Dec</v>
      </c>
      <c r="E945" s="7" t="s">
        <v>1352</v>
      </c>
      <c r="F945" s="7" t="str">
        <f t="shared" si="58"/>
        <v>Ahmad Fauzi</v>
      </c>
      <c r="G945" s="7" t="s">
        <v>1359</v>
      </c>
      <c r="H945" s="7" t="s">
        <v>1369</v>
      </c>
      <c r="I945" s="7">
        <v>2</v>
      </c>
      <c r="J945" s="7" t="str">
        <f>INDEX(Master_Produk!$C$2:$C$11,MATCH(H945,Master_Produk!$A$2:$A$11,0))</f>
        <v>Elektronik</v>
      </c>
      <c r="K945" s="8">
        <f>INDEX(Master_Produk!$E$2:$E$11,MATCH(Data_Transaksi!H945,Master_Produk!$A$2:$A$11,0))</f>
        <v>4500000</v>
      </c>
      <c r="L945" s="8">
        <f t="shared" si="59"/>
        <v>9000000</v>
      </c>
      <c r="M945" s="8">
        <f>INDEX(Master_Target!$B$2:$M$4, MATCH(J945, Master_Target!$A$2:$A$4, 0), MATCH(TEXT(B945, "[$-421]mmmm"), Master_Target!$B$1:$M$1, 0))</f>
        <v>110000000</v>
      </c>
    </row>
    <row r="946" spans="1:13" x14ac:dyDescent="0.25">
      <c r="A946" s="7" t="s">
        <v>955</v>
      </c>
      <c r="B946" s="11" t="s">
        <v>1329</v>
      </c>
      <c r="C946" s="7">
        <f t="shared" si="56"/>
        <v>12</v>
      </c>
      <c r="D946" s="7" t="str">
        <f t="shared" si="57"/>
        <v>Dec</v>
      </c>
      <c r="E946" s="7" t="s">
        <v>1355</v>
      </c>
      <c r="F946" s="7" t="str">
        <f t="shared" si="58"/>
        <v>Bambang H.</v>
      </c>
      <c r="G946" s="7" t="s">
        <v>1359</v>
      </c>
      <c r="H946" s="7" t="s">
        <v>1370</v>
      </c>
      <c r="I946" s="7">
        <v>1</v>
      </c>
      <c r="J946" s="7" t="str">
        <f>INDEX(Master_Produk!$C$2:$C$11,MATCH(H946,Master_Produk!$A$2:$A$11,0))</f>
        <v>Furnitur</v>
      </c>
      <c r="K946" s="8">
        <f>INDEX(Master_Produk!$E$2:$E$11,MATCH(Data_Transaksi!H946,Master_Produk!$A$2:$A$11,0))</f>
        <v>1200000</v>
      </c>
      <c r="L946" s="8">
        <f t="shared" si="59"/>
        <v>1200000</v>
      </c>
      <c r="M946" s="8">
        <f>INDEX(Master_Target!$B$2:$M$4, MATCH(J946, Master_Target!$A$2:$A$4, 0), MATCH(TEXT(B946, "[$-421]mmmm"), Master_Target!$B$1:$M$1, 0))</f>
        <v>45000000</v>
      </c>
    </row>
    <row r="947" spans="1:13" x14ac:dyDescent="0.25">
      <c r="A947" s="7" t="s">
        <v>956</v>
      </c>
      <c r="B947" s="11" t="s">
        <v>1329</v>
      </c>
      <c r="C947" s="7">
        <f t="shared" si="56"/>
        <v>12</v>
      </c>
      <c r="D947" s="7" t="str">
        <f t="shared" si="57"/>
        <v>Dec</v>
      </c>
      <c r="E947" s="7" t="s">
        <v>1354</v>
      </c>
      <c r="F947" s="7" t="str">
        <f t="shared" si="58"/>
        <v>Mega Utami</v>
      </c>
      <c r="G947" s="7" t="s">
        <v>1358</v>
      </c>
      <c r="H947" s="7" t="s">
        <v>1364</v>
      </c>
      <c r="I947" s="7">
        <v>3</v>
      </c>
      <c r="J947" s="7" t="str">
        <f>INDEX(Master_Produk!$C$2:$C$11,MATCH(H947,Master_Produk!$A$2:$A$11,0))</f>
        <v>Furnitur</v>
      </c>
      <c r="K947" s="8">
        <f>INDEX(Master_Produk!$E$2:$E$11,MATCH(Data_Transaksi!H947,Master_Produk!$A$2:$A$11,0))</f>
        <v>950000</v>
      </c>
      <c r="L947" s="8">
        <f t="shared" si="59"/>
        <v>2850000</v>
      </c>
      <c r="M947" s="8">
        <f>INDEX(Master_Target!$B$2:$M$4, MATCH(J947, Master_Target!$A$2:$A$4, 0), MATCH(TEXT(B947, "[$-421]mmmm"), Master_Target!$B$1:$M$1, 0))</f>
        <v>45000000</v>
      </c>
    </row>
    <row r="948" spans="1:13" x14ac:dyDescent="0.25">
      <c r="A948" s="7" t="s">
        <v>957</v>
      </c>
      <c r="B948" s="11" t="s">
        <v>1329</v>
      </c>
      <c r="C948" s="7">
        <f t="shared" si="56"/>
        <v>12</v>
      </c>
      <c r="D948" s="7" t="str">
        <f t="shared" si="57"/>
        <v>Dec</v>
      </c>
      <c r="E948" s="7" t="s">
        <v>1348</v>
      </c>
      <c r="F948" s="7" t="str">
        <f t="shared" si="58"/>
        <v>Budi Santoso</v>
      </c>
      <c r="G948" s="7" t="s">
        <v>1359</v>
      </c>
      <c r="H948" s="7" t="s">
        <v>1368</v>
      </c>
      <c r="I948" s="7">
        <v>1</v>
      </c>
      <c r="J948" s="7" t="str">
        <f>INDEX(Master_Produk!$C$2:$C$11,MATCH(H948,Master_Produk!$A$2:$A$11,0))</f>
        <v>Furnitur</v>
      </c>
      <c r="K948" s="8">
        <f>INDEX(Master_Produk!$E$2:$E$11,MATCH(Data_Transaksi!H948,Master_Produk!$A$2:$A$11,0))</f>
        <v>650000</v>
      </c>
      <c r="L948" s="8">
        <f t="shared" si="59"/>
        <v>650000</v>
      </c>
      <c r="M948" s="8">
        <f>INDEX(Master_Target!$B$2:$M$4, MATCH(J948, Master_Target!$A$2:$A$4, 0), MATCH(TEXT(B948, "[$-421]mmmm"), Master_Target!$B$1:$M$1, 0))</f>
        <v>45000000</v>
      </c>
    </row>
    <row r="949" spans="1:13" x14ac:dyDescent="0.25">
      <c r="A949" s="7" t="s">
        <v>958</v>
      </c>
      <c r="B949" s="11" t="s">
        <v>1329</v>
      </c>
      <c r="C949" s="7">
        <f t="shared" si="56"/>
        <v>12</v>
      </c>
      <c r="D949" s="7" t="str">
        <f t="shared" si="57"/>
        <v>Dec</v>
      </c>
      <c r="E949" s="7" t="s">
        <v>1350</v>
      </c>
      <c r="F949" s="7" t="str">
        <f t="shared" si="58"/>
        <v>Andi Wijaya</v>
      </c>
      <c r="G949" s="7" t="s">
        <v>1359</v>
      </c>
      <c r="H949" s="7" t="s">
        <v>1370</v>
      </c>
      <c r="I949" s="7">
        <v>3</v>
      </c>
      <c r="J949" s="7" t="str">
        <f>INDEX(Master_Produk!$C$2:$C$11,MATCH(H949,Master_Produk!$A$2:$A$11,0))</f>
        <v>Furnitur</v>
      </c>
      <c r="K949" s="8">
        <f>INDEX(Master_Produk!$E$2:$E$11,MATCH(Data_Transaksi!H949,Master_Produk!$A$2:$A$11,0))</f>
        <v>1200000</v>
      </c>
      <c r="L949" s="8">
        <f t="shared" si="59"/>
        <v>3600000</v>
      </c>
      <c r="M949" s="8">
        <f>INDEX(Master_Target!$B$2:$M$4, MATCH(J949, Master_Target!$A$2:$A$4, 0), MATCH(TEXT(B949, "[$-421]mmmm"), Master_Target!$B$1:$M$1, 0))</f>
        <v>45000000</v>
      </c>
    </row>
    <row r="950" spans="1:13" x14ac:dyDescent="0.25">
      <c r="A950" s="7" t="s">
        <v>959</v>
      </c>
      <c r="B950" s="11" t="s">
        <v>1329</v>
      </c>
      <c r="C950" s="7">
        <f t="shared" si="56"/>
        <v>12</v>
      </c>
      <c r="D950" s="7" t="str">
        <f t="shared" si="57"/>
        <v>Dec</v>
      </c>
      <c r="E950" s="7" t="s">
        <v>1352</v>
      </c>
      <c r="F950" s="7" t="str">
        <f t="shared" si="58"/>
        <v>Ahmad Fauzi</v>
      </c>
      <c r="G950" s="7" t="s">
        <v>1358</v>
      </c>
      <c r="H950" s="7" t="s">
        <v>1368</v>
      </c>
      <c r="I950" s="7">
        <v>3</v>
      </c>
      <c r="J950" s="7" t="str">
        <f>INDEX(Master_Produk!$C$2:$C$11,MATCH(H950,Master_Produk!$A$2:$A$11,0))</f>
        <v>Furnitur</v>
      </c>
      <c r="K950" s="8">
        <f>INDEX(Master_Produk!$E$2:$E$11,MATCH(Data_Transaksi!H950,Master_Produk!$A$2:$A$11,0))</f>
        <v>650000</v>
      </c>
      <c r="L950" s="8">
        <f t="shared" si="59"/>
        <v>1950000</v>
      </c>
      <c r="M950" s="8">
        <f>INDEX(Master_Target!$B$2:$M$4, MATCH(J950, Master_Target!$A$2:$A$4, 0), MATCH(TEXT(B950, "[$-421]mmmm"), Master_Target!$B$1:$M$1, 0))</f>
        <v>45000000</v>
      </c>
    </row>
    <row r="951" spans="1:13" x14ac:dyDescent="0.25">
      <c r="A951" s="7" t="s">
        <v>960</v>
      </c>
      <c r="B951" s="11" t="s">
        <v>1329</v>
      </c>
      <c r="C951" s="7">
        <f t="shared" si="56"/>
        <v>12</v>
      </c>
      <c r="D951" s="7" t="str">
        <f t="shared" si="57"/>
        <v>Dec</v>
      </c>
      <c r="E951" s="7" t="s">
        <v>1356</v>
      </c>
      <c r="F951" s="7" t="str">
        <f t="shared" si="58"/>
        <v>Eko Prasetyo</v>
      </c>
      <c r="G951" s="7" t="s">
        <v>1361</v>
      </c>
      <c r="H951" s="7" t="s">
        <v>1370</v>
      </c>
      <c r="I951" s="7">
        <v>3</v>
      </c>
      <c r="J951" s="7" t="str">
        <f>INDEX(Master_Produk!$C$2:$C$11,MATCH(H951,Master_Produk!$A$2:$A$11,0))</f>
        <v>Furnitur</v>
      </c>
      <c r="K951" s="8">
        <f>INDEX(Master_Produk!$E$2:$E$11,MATCH(Data_Transaksi!H951,Master_Produk!$A$2:$A$11,0))</f>
        <v>1200000</v>
      </c>
      <c r="L951" s="8">
        <f t="shared" si="59"/>
        <v>3600000</v>
      </c>
      <c r="M951" s="8">
        <f>INDEX(Master_Target!$B$2:$M$4, MATCH(J951, Master_Target!$A$2:$A$4, 0), MATCH(TEXT(B951, "[$-421]mmmm"), Master_Target!$B$1:$M$1, 0))</f>
        <v>45000000</v>
      </c>
    </row>
    <row r="952" spans="1:13" x14ac:dyDescent="0.25">
      <c r="A952" s="7" t="s">
        <v>961</v>
      </c>
      <c r="B952" s="11" t="s">
        <v>1329</v>
      </c>
      <c r="C952" s="7">
        <f t="shared" si="56"/>
        <v>12</v>
      </c>
      <c r="D952" s="7" t="str">
        <f t="shared" si="57"/>
        <v>Dec</v>
      </c>
      <c r="E952" s="7" t="s">
        <v>1353</v>
      </c>
      <c r="F952" s="7" t="str">
        <f t="shared" si="58"/>
        <v>Sari Yuliana</v>
      </c>
      <c r="G952" s="7" t="s">
        <v>1360</v>
      </c>
      <c r="H952" s="7" t="s">
        <v>1371</v>
      </c>
      <c r="I952" s="7">
        <v>1</v>
      </c>
      <c r="J952" s="7" t="str">
        <f>INDEX(Master_Produk!$C$2:$C$11,MATCH(H952,Master_Produk!$A$2:$A$11,0))</f>
        <v>Pakaian</v>
      </c>
      <c r="K952" s="8">
        <f>INDEX(Master_Produk!$E$2:$E$11,MATCH(Data_Transaksi!H952,Master_Produk!$A$2:$A$11,0))</f>
        <v>280000</v>
      </c>
      <c r="L952" s="8">
        <f t="shared" si="59"/>
        <v>280000</v>
      </c>
      <c r="M952" s="8">
        <f>INDEX(Master_Target!$B$2:$M$4, MATCH(J952, Master_Target!$A$2:$A$4, 0), MATCH(TEXT(B952, "[$-421]mmmm"), Master_Target!$B$1:$M$1, 0))</f>
        <v>35000000</v>
      </c>
    </row>
    <row r="953" spans="1:13" x14ac:dyDescent="0.25">
      <c r="A953" s="7" t="s">
        <v>962</v>
      </c>
      <c r="B953" s="11" t="s">
        <v>1330</v>
      </c>
      <c r="C953" s="7">
        <f t="shared" si="56"/>
        <v>12</v>
      </c>
      <c r="D953" s="7" t="str">
        <f t="shared" si="57"/>
        <v>Dec</v>
      </c>
      <c r="E953" s="7" t="s">
        <v>1355</v>
      </c>
      <c r="F953" s="7" t="str">
        <f t="shared" si="58"/>
        <v>Bambang H.</v>
      </c>
      <c r="G953" s="7" t="s">
        <v>1357</v>
      </c>
      <c r="H953" s="7" t="s">
        <v>1368</v>
      </c>
      <c r="I953" s="7">
        <v>1</v>
      </c>
      <c r="J953" s="7" t="str">
        <f>INDEX(Master_Produk!$C$2:$C$11,MATCH(H953,Master_Produk!$A$2:$A$11,0))</f>
        <v>Furnitur</v>
      </c>
      <c r="K953" s="8">
        <f>INDEX(Master_Produk!$E$2:$E$11,MATCH(Data_Transaksi!H953,Master_Produk!$A$2:$A$11,0))</f>
        <v>650000</v>
      </c>
      <c r="L953" s="8">
        <f t="shared" si="59"/>
        <v>650000</v>
      </c>
      <c r="M953" s="8">
        <f>INDEX(Master_Target!$B$2:$M$4, MATCH(J953, Master_Target!$A$2:$A$4, 0), MATCH(TEXT(B953, "[$-421]mmmm"), Master_Target!$B$1:$M$1, 0))</f>
        <v>45000000</v>
      </c>
    </row>
    <row r="954" spans="1:13" x14ac:dyDescent="0.25">
      <c r="A954" s="7" t="s">
        <v>963</v>
      </c>
      <c r="B954" s="11" t="s">
        <v>1331</v>
      </c>
      <c r="C954" s="7">
        <f t="shared" si="56"/>
        <v>12</v>
      </c>
      <c r="D954" s="7" t="str">
        <f t="shared" si="57"/>
        <v>Dec</v>
      </c>
      <c r="E954" s="7" t="s">
        <v>1355</v>
      </c>
      <c r="F954" s="7" t="str">
        <f t="shared" si="58"/>
        <v>Bambang H.</v>
      </c>
      <c r="G954" s="7" t="s">
        <v>1361</v>
      </c>
      <c r="H954" s="7" t="s">
        <v>1365</v>
      </c>
      <c r="I954" s="7">
        <v>1</v>
      </c>
      <c r="J954" s="7" t="str">
        <f>INDEX(Master_Produk!$C$2:$C$11,MATCH(H954,Master_Produk!$A$2:$A$11,0))</f>
        <v>Elektronik</v>
      </c>
      <c r="K954" s="8">
        <f>INDEX(Master_Produk!$E$2:$E$11,MATCH(Data_Transaksi!H954,Master_Produk!$A$2:$A$11,0))</f>
        <v>1800000</v>
      </c>
      <c r="L954" s="8">
        <f t="shared" si="59"/>
        <v>1800000</v>
      </c>
      <c r="M954" s="8">
        <f>INDEX(Master_Target!$B$2:$M$4, MATCH(J954, Master_Target!$A$2:$A$4, 0), MATCH(TEXT(B954, "[$-421]mmmm"), Master_Target!$B$1:$M$1, 0))</f>
        <v>110000000</v>
      </c>
    </row>
    <row r="955" spans="1:13" x14ac:dyDescent="0.25">
      <c r="A955" s="7" t="s">
        <v>964</v>
      </c>
      <c r="B955" s="11" t="s">
        <v>1331</v>
      </c>
      <c r="C955" s="7">
        <f t="shared" si="56"/>
        <v>12</v>
      </c>
      <c r="D955" s="7" t="str">
        <f t="shared" si="57"/>
        <v>Dec</v>
      </c>
      <c r="E955" s="7" t="s">
        <v>1348</v>
      </c>
      <c r="F955" s="7" t="str">
        <f t="shared" si="58"/>
        <v>Budi Santoso</v>
      </c>
      <c r="G955" s="7" t="s">
        <v>1359</v>
      </c>
      <c r="H955" s="7" t="s">
        <v>1367</v>
      </c>
      <c r="I955" s="7">
        <v>1</v>
      </c>
      <c r="J955" s="7" t="str">
        <f>INDEX(Master_Produk!$C$2:$C$11,MATCH(H955,Master_Produk!$A$2:$A$11,0))</f>
        <v>Elektronik</v>
      </c>
      <c r="K955" s="8">
        <f>INDEX(Master_Produk!$E$2:$E$11,MATCH(Data_Transaksi!H955,Master_Produk!$A$2:$A$11,0))</f>
        <v>250000</v>
      </c>
      <c r="L955" s="8">
        <f t="shared" si="59"/>
        <v>250000</v>
      </c>
      <c r="M955" s="8">
        <f>INDEX(Master_Target!$B$2:$M$4, MATCH(J955, Master_Target!$A$2:$A$4, 0), MATCH(TEXT(B955, "[$-421]mmmm"), Master_Target!$B$1:$M$1, 0))</f>
        <v>110000000</v>
      </c>
    </row>
    <row r="956" spans="1:13" x14ac:dyDescent="0.25">
      <c r="A956" s="7" t="s">
        <v>965</v>
      </c>
      <c r="B956" s="11" t="s">
        <v>1331</v>
      </c>
      <c r="C956" s="7">
        <f t="shared" si="56"/>
        <v>12</v>
      </c>
      <c r="D956" s="7" t="str">
        <f t="shared" si="57"/>
        <v>Dec</v>
      </c>
      <c r="E956" s="7" t="s">
        <v>1350</v>
      </c>
      <c r="F956" s="7" t="str">
        <f t="shared" si="58"/>
        <v>Andi Wijaya</v>
      </c>
      <c r="G956" s="7" t="s">
        <v>1359</v>
      </c>
      <c r="H956" s="7" t="s">
        <v>1364</v>
      </c>
      <c r="I956" s="7">
        <v>1</v>
      </c>
      <c r="J956" s="7" t="str">
        <f>INDEX(Master_Produk!$C$2:$C$11,MATCH(H956,Master_Produk!$A$2:$A$11,0))</f>
        <v>Furnitur</v>
      </c>
      <c r="K956" s="8">
        <f>INDEX(Master_Produk!$E$2:$E$11,MATCH(Data_Transaksi!H956,Master_Produk!$A$2:$A$11,0))</f>
        <v>950000</v>
      </c>
      <c r="L956" s="8">
        <f t="shared" si="59"/>
        <v>950000</v>
      </c>
      <c r="M956" s="8">
        <f>INDEX(Master_Target!$B$2:$M$4, MATCH(J956, Master_Target!$A$2:$A$4, 0), MATCH(TEXT(B956, "[$-421]mmmm"), Master_Target!$B$1:$M$1, 0))</f>
        <v>45000000</v>
      </c>
    </row>
    <row r="957" spans="1:13" x14ac:dyDescent="0.25">
      <c r="A957" s="7" t="s">
        <v>966</v>
      </c>
      <c r="B957" s="11" t="s">
        <v>1331</v>
      </c>
      <c r="C957" s="7">
        <f t="shared" si="56"/>
        <v>12</v>
      </c>
      <c r="D957" s="7" t="str">
        <f t="shared" si="57"/>
        <v>Dec</v>
      </c>
      <c r="E957" s="7" t="s">
        <v>1349</v>
      </c>
      <c r="F957" s="7" t="str">
        <f t="shared" si="58"/>
        <v>Dewi Lestari</v>
      </c>
      <c r="G957" s="7" t="s">
        <v>1358</v>
      </c>
      <c r="H957" s="7" t="s">
        <v>1365</v>
      </c>
      <c r="I957" s="7">
        <v>5</v>
      </c>
      <c r="J957" s="7" t="str">
        <f>INDEX(Master_Produk!$C$2:$C$11,MATCH(H957,Master_Produk!$A$2:$A$11,0))</f>
        <v>Elektronik</v>
      </c>
      <c r="K957" s="8">
        <f>INDEX(Master_Produk!$E$2:$E$11,MATCH(Data_Transaksi!H957,Master_Produk!$A$2:$A$11,0))</f>
        <v>1800000</v>
      </c>
      <c r="L957" s="8">
        <f t="shared" si="59"/>
        <v>9000000</v>
      </c>
      <c r="M957" s="8">
        <f>INDEX(Master_Target!$B$2:$M$4, MATCH(J957, Master_Target!$A$2:$A$4, 0), MATCH(TEXT(B957, "[$-421]mmmm"), Master_Target!$B$1:$M$1, 0))</f>
        <v>110000000</v>
      </c>
    </row>
    <row r="958" spans="1:13" x14ac:dyDescent="0.25">
      <c r="A958" s="7" t="s">
        <v>967</v>
      </c>
      <c r="B958" s="11" t="s">
        <v>1332</v>
      </c>
      <c r="C958" s="7">
        <f t="shared" si="56"/>
        <v>12</v>
      </c>
      <c r="D958" s="7" t="str">
        <f t="shared" si="57"/>
        <v>Dec</v>
      </c>
      <c r="E958" s="7" t="s">
        <v>1352</v>
      </c>
      <c r="F958" s="7" t="str">
        <f t="shared" si="58"/>
        <v>Ahmad Fauzi</v>
      </c>
      <c r="G958" s="7" t="s">
        <v>1357</v>
      </c>
      <c r="H958" s="7" t="s">
        <v>1370</v>
      </c>
      <c r="I958" s="7">
        <v>2</v>
      </c>
      <c r="J958" s="7" t="str">
        <f>INDEX(Master_Produk!$C$2:$C$11,MATCH(H958,Master_Produk!$A$2:$A$11,0))</f>
        <v>Furnitur</v>
      </c>
      <c r="K958" s="8">
        <f>INDEX(Master_Produk!$E$2:$E$11,MATCH(Data_Transaksi!H958,Master_Produk!$A$2:$A$11,0))</f>
        <v>1200000</v>
      </c>
      <c r="L958" s="8">
        <f t="shared" si="59"/>
        <v>2400000</v>
      </c>
      <c r="M958" s="8">
        <f>INDEX(Master_Target!$B$2:$M$4, MATCH(J958, Master_Target!$A$2:$A$4, 0), MATCH(TEXT(B958, "[$-421]mmmm"), Master_Target!$B$1:$M$1, 0))</f>
        <v>45000000</v>
      </c>
    </row>
    <row r="959" spans="1:13" x14ac:dyDescent="0.25">
      <c r="A959" s="7" t="s">
        <v>968</v>
      </c>
      <c r="B959" s="11" t="s">
        <v>1332</v>
      </c>
      <c r="C959" s="7">
        <f t="shared" si="56"/>
        <v>12</v>
      </c>
      <c r="D959" s="7" t="str">
        <f t="shared" si="57"/>
        <v>Dec</v>
      </c>
      <c r="E959" s="7" t="s">
        <v>1351</v>
      </c>
      <c r="F959" s="7" t="str">
        <f t="shared" si="58"/>
        <v>Siti Rahma</v>
      </c>
      <c r="G959" s="7" t="s">
        <v>1360</v>
      </c>
      <c r="H959" s="7" t="s">
        <v>1370</v>
      </c>
      <c r="I959" s="7">
        <v>1</v>
      </c>
      <c r="J959" s="7" t="str">
        <f>INDEX(Master_Produk!$C$2:$C$11,MATCH(H959,Master_Produk!$A$2:$A$11,0))</f>
        <v>Furnitur</v>
      </c>
      <c r="K959" s="8">
        <f>INDEX(Master_Produk!$E$2:$E$11,MATCH(Data_Transaksi!H959,Master_Produk!$A$2:$A$11,0))</f>
        <v>1200000</v>
      </c>
      <c r="L959" s="8">
        <f t="shared" si="59"/>
        <v>1200000</v>
      </c>
      <c r="M959" s="8">
        <f>INDEX(Master_Target!$B$2:$M$4, MATCH(J959, Master_Target!$A$2:$A$4, 0), MATCH(TEXT(B959, "[$-421]mmmm"), Master_Target!$B$1:$M$1, 0))</f>
        <v>45000000</v>
      </c>
    </row>
    <row r="960" spans="1:13" x14ac:dyDescent="0.25">
      <c r="A960" s="7" t="s">
        <v>969</v>
      </c>
      <c r="B960" s="11" t="s">
        <v>1332</v>
      </c>
      <c r="C960" s="7">
        <f t="shared" si="56"/>
        <v>12</v>
      </c>
      <c r="D960" s="7" t="str">
        <f t="shared" si="57"/>
        <v>Dec</v>
      </c>
      <c r="E960" s="7" t="s">
        <v>1349</v>
      </c>
      <c r="F960" s="7" t="str">
        <f t="shared" si="58"/>
        <v>Dewi Lestari</v>
      </c>
      <c r="G960" s="7" t="s">
        <v>1358</v>
      </c>
      <c r="H960" s="7" t="s">
        <v>1365</v>
      </c>
      <c r="I960" s="7">
        <v>1</v>
      </c>
      <c r="J960" s="7" t="str">
        <f>INDEX(Master_Produk!$C$2:$C$11,MATCH(H960,Master_Produk!$A$2:$A$11,0))</f>
        <v>Elektronik</v>
      </c>
      <c r="K960" s="8">
        <f>INDEX(Master_Produk!$E$2:$E$11,MATCH(Data_Transaksi!H960,Master_Produk!$A$2:$A$11,0))</f>
        <v>1800000</v>
      </c>
      <c r="L960" s="8">
        <f t="shared" si="59"/>
        <v>1800000</v>
      </c>
      <c r="M960" s="8">
        <f>INDEX(Master_Target!$B$2:$M$4, MATCH(J960, Master_Target!$A$2:$A$4, 0), MATCH(TEXT(B960, "[$-421]mmmm"), Master_Target!$B$1:$M$1, 0))</f>
        <v>110000000</v>
      </c>
    </row>
    <row r="961" spans="1:13" x14ac:dyDescent="0.25">
      <c r="A961" s="7" t="s">
        <v>970</v>
      </c>
      <c r="B961" s="11" t="s">
        <v>1332</v>
      </c>
      <c r="C961" s="7">
        <f t="shared" si="56"/>
        <v>12</v>
      </c>
      <c r="D961" s="7" t="str">
        <f t="shared" si="57"/>
        <v>Dec</v>
      </c>
      <c r="E961" s="7" t="s">
        <v>1355</v>
      </c>
      <c r="F961" s="7" t="str">
        <f t="shared" si="58"/>
        <v>Bambang H.</v>
      </c>
      <c r="G961" s="7" t="s">
        <v>1358</v>
      </c>
      <c r="H961" s="7" t="s">
        <v>1365</v>
      </c>
      <c r="I961" s="7">
        <v>2</v>
      </c>
      <c r="J961" s="7" t="str">
        <f>INDEX(Master_Produk!$C$2:$C$11,MATCH(H961,Master_Produk!$A$2:$A$11,0))</f>
        <v>Elektronik</v>
      </c>
      <c r="K961" s="8">
        <f>INDEX(Master_Produk!$E$2:$E$11,MATCH(Data_Transaksi!H961,Master_Produk!$A$2:$A$11,0))</f>
        <v>1800000</v>
      </c>
      <c r="L961" s="8">
        <f t="shared" si="59"/>
        <v>3600000</v>
      </c>
      <c r="M961" s="8">
        <f>INDEX(Master_Target!$B$2:$M$4, MATCH(J961, Master_Target!$A$2:$A$4, 0), MATCH(TEXT(B961, "[$-421]mmmm"), Master_Target!$B$1:$M$1, 0))</f>
        <v>110000000</v>
      </c>
    </row>
    <row r="962" spans="1:13" x14ac:dyDescent="0.25">
      <c r="A962" s="7" t="s">
        <v>971</v>
      </c>
      <c r="B962" s="11" t="s">
        <v>1332</v>
      </c>
      <c r="C962" s="7">
        <f t="shared" si="56"/>
        <v>12</v>
      </c>
      <c r="D962" s="7" t="str">
        <f t="shared" si="57"/>
        <v>Dec</v>
      </c>
      <c r="E962" s="7" t="s">
        <v>1355</v>
      </c>
      <c r="F962" s="7" t="str">
        <f t="shared" si="58"/>
        <v>Bambang H.</v>
      </c>
      <c r="G962" s="7" t="s">
        <v>1360</v>
      </c>
      <c r="H962" s="7" t="s">
        <v>1366</v>
      </c>
      <c r="I962" s="7">
        <v>2</v>
      </c>
      <c r="J962" s="7" t="str">
        <f>INDEX(Master_Produk!$C$2:$C$11,MATCH(H962,Master_Produk!$A$2:$A$11,0))</f>
        <v>Elektronik</v>
      </c>
      <c r="K962" s="8">
        <f>INDEX(Master_Produk!$E$2:$E$11,MATCH(Data_Transaksi!H962,Master_Produk!$A$2:$A$11,0))</f>
        <v>7500000</v>
      </c>
      <c r="L962" s="8">
        <f t="shared" si="59"/>
        <v>15000000</v>
      </c>
      <c r="M962" s="8">
        <f>INDEX(Master_Target!$B$2:$M$4, MATCH(J962, Master_Target!$A$2:$A$4, 0), MATCH(TEXT(B962, "[$-421]mmmm"), Master_Target!$B$1:$M$1, 0))</f>
        <v>110000000</v>
      </c>
    </row>
    <row r="963" spans="1:13" x14ac:dyDescent="0.25">
      <c r="A963" s="7" t="s">
        <v>972</v>
      </c>
      <c r="B963" s="11" t="s">
        <v>1333</v>
      </c>
      <c r="C963" s="7">
        <f t="shared" ref="C963:C1001" si="60">MONTH(B963)</f>
        <v>12</v>
      </c>
      <c r="D963" s="7" t="str">
        <f t="shared" ref="D963:D1001" si="61">TEXT(B963,"mmm")</f>
        <v>Dec</v>
      </c>
      <c r="E963" s="7" t="s">
        <v>1347</v>
      </c>
      <c r="F963" s="7" t="str">
        <f t="shared" ref="F963:F1001" si="62">TRIM(PROPER(E963))</f>
        <v>Rina Marlina</v>
      </c>
      <c r="G963" s="7" t="s">
        <v>1360</v>
      </c>
      <c r="H963" s="7" t="s">
        <v>1362</v>
      </c>
      <c r="I963" s="7">
        <v>2</v>
      </c>
      <c r="J963" s="7" t="str">
        <f>INDEX(Master_Produk!$C$2:$C$11,MATCH(H963,Master_Produk!$A$2:$A$11,0))</f>
        <v>Pakaian</v>
      </c>
      <c r="K963" s="8">
        <f>INDEX(Master_Produk!$E$2:$E$11,MATCH(Data_Transaksi!H963,Master_Produk!$A$2:$A$11,0))</f>
        <v>350000</v>
      </c>
      <c r="L963" s="8">
        <f t="shared" ref="L963:L1001" si="63">I963*K963</f>
        <v>700000</v>
      </c>
      <c r="M963" s="8">
        <f>INDEX(Master_Target!$B$2:$M$4, MATCH(J963, Master_Target!$A$2:$A$4, 0), MATCH(TEXT(B963, "[$-421]mmmm"), Master_Target!$B$1:$M$1, 0))</f>
        <v>35000000</v>
      </c>
    </row>
    <row r="964" spans="1:13" x14ac:dyDescent="0.25">
      <c r="A964" s="7" t="s">
        <v>973</v>
      </c>
      <c r="B964" s="11" t="s">
        <v>1333</v>
      </c>
      <c r="C964" s="7">
        <f t="shared" si="60"/>
        <v>12</v>
      </c>
      <c r="D964" s="7" t="str">
        <f t="shared" si="61"/>
        <v>Dec</v>
      </c>
      <c r="E964" s="7" t="s">
        <v>1348</v>
      </c>
      <c r="F964" s="7" t="str">
        <f t="shared" si="62"/>
        <v>Budi Santoso</v>
      </c>
      <c r="G964" s="7" t="s">
        <v>1359</v>
      </c>
      <c r="H964" s="7" t="s">
        <v>1364</v>
      </c>
      <c r="I964" s="7">
        <v>4</v>
      </c>
      <c r="J964" s="7" t="str">
        <f>INDEX(Master_Produk!$C$2:$C$11,MATCH(H964,Master_Produk!$A$2:$A$11,0))</f>
        <v>Furnitur</v>
      </c>
      <c r="K964" s="8">
        <f>INDEX(Master_Produk!$E$2:$E$11,MATCH(Data_Transaksi!H964,Master_Produk!$A$2:$A$11,0))</f>
        <v>950000</v>
      </c>
      <c r="L964" s="8">
        <f t="shared" si="63"/>
        <v>3800000</v>
      </c>
      <c r="M964" s="8">
        <f>INDEX(Master_Target!$B$2:$M$4, MATCH(J964, Master_Target!$A$2:$A$4, 0), MATCH(TEXT(B964, "[$-421]mmmm"), Master_Target!$B$1:$M$1, 0))</f>
        <v>45000000</v>
      </c>
    </row>
    <row r="965" spans="1:13" x14ac:dyDescent="0.25">
      <c r="A965" s="7" t="s">
        <v>974</v>
      </c>
      <c r="B965" s="11" t="s">
        <v>1333</v>
      </c>
      <c r="C965" s="7">
        <f t="shared" si="60"/>
        <v>12</v>
      </c>
      <c r="D965" s="7" t="str">
        <f t="shared" si="61"/>
        <v>Dec</v>
      </c>
      <c r="E965" s="7" t="s">
        <v>1353</v>
      </c>
      <c r="F965" s="7" t="str">
        <f t="shared" si="62"/>
        <v>Sari Yuliana</v>
      </c>
      <c r="G965" s="7" t="s">
        <v>1358</v>
      </c>
      <c r="H965" s="7" t="s">
        <v>1367</v>
      </c>
      <c r="I965" s="7">
        <v>2</v>
      </c>
      <c r="J965" s="7" t="str">
        <f>INDEX(Master_Produk!$C$2:$C$11,MATCH(H965,Master_Produk!$A$2:$A$11,0))</f>
        <v>Elektronik</v>
      </c>
      <c r="K965" s="8">
        <f>INDEX(Master_Produk!$E$2:$E$11,MATCH(Data_Transaksi!H965,Master_Produk!$A$2:$A$11,0))</f>
        <v>250000</v>
      </c>
      <c r="L965" s="8">
        <f t="shared" si="63"/>
        <v>500000</v>
      </c>
      <c r="M965" s="8">
        <f>INDEX(Master_Target!$B$2:$M$4, MATCH(J965, Master_Target!$A$2:$A$4, 0), MATCH(TEXT(B965, "[$-421]mmmm"), Master_Target!$B$1:$M$1, 0))</f>
        <v>110000000</v>
      </c>
    </row>
    <row r="966" spans="1:13" x14ac:dyDescent="0.25">
      <c r="A966" s="7" t="s">
        <v>975</v>
      </c>
      <c r="B966" s="11" t="s">
        <v>1333</v>
      </c>
      <c r="C966" s="7">
        <f t="shared" si="60"/>
        <v>12</v>
      </c>
      <c r="D966" s="7" t="str">
        <f t="shared" si="61"/>
        <v>Dec</v>
      </c>
      <c r="E966" s="7" t="s">
        <v>1350</v>
      </c>
      <c r="F966" s="7" t="str">
        <f t="shared" si="62"/>
        <v>Andi Wijaya</v>
      </c>
      <c r="G966" s="7" t="s">
        <v>1361</v>
      </c>
      <c r="H966" s="7" t="s">
        <v>1362</v>
      </c>
      <c r="I966" s="7">
        <v>10</v>
      </c>
      <c r="J966" s="7" t="str">
        <f>INDEX(Master_Produk!$C$2:$C$11,MATCH(H966,Master_Produk!$A$2:$A$11,0))</f>
        <v>Pakaian</v>
      </c>
      <c r="K966" s="8">
        <f>INDEX(Master_Produk!$E$2:$E$11,MATCH(Data_Transaksi!H966,Master_Produk!$A$2:$A$11,0))</f>
        <v>350000</v>
      </c>
      <c r="L966" s="8">
        <f t="shared" si="63"/>
        <v>3500000</v>
      </c>
      <c r="M966" s="8">
        <f>INDEX(Master_Target!$B$2:$M$4, MATCH(J966, Master_Target!$A$2:$A$4, 0), MATCH(TEXT(B966, "[$-421]mmmm"), Master_Target!$B$1:$M$1, 0))</f>
        <v>35000000</v>
      </c>
    </row>
    <row r="967" spans="1:13" x14ac:dyDescent="0.25">
      <c r="A967" s="7" t="s">
        <v>976</v>
      </c>
      <c r="B967" s="11" t="s">
        <v>1334</v>
      </c>
      <c r="C967" s="7">
        <f t="shared" si="60"/>
        <v>12</v>
      </c>
      <c r="D967" s="7" t="str">
        <f t="shared" si="61"/>
        <v>Dec</v>
      </c>
      <c r="E967" s="7" t="s">
        <v>1351</v>
      </c>
      <c r="F967" s="7" t="str">
        <f t="shared" si="62"/>
        <v>Siti Rahma</v>
      </c>
      <c r="G967" s="7" t="s">
        <v>1361</v>
      </c>
      <c r="H967" s="7" t="s">
        <v>1365</v>
      </c>
      <c r="I967" s="7">
        <v>4</v>
      </c>
      <c r="J967" s="7" t="str">
        <f>INDEX(Master_Produk!$C$2:$C$11,MATCH(H967,Master_Produk!$A$2:$A$11,0))</f>
        <v>Elektronik</v>
      </c>
      <c r="K967" s="8">
        <f>INDEX(Master_Produk!$E$2:$E$11,MATCH(Data_Transaksi!H967,Master_Produk!$A$2:$A$11,0))</f>
        <v>1800000</v>
      </c>
      <c r="L967" s="8">
        <f t="shared" si="63"/>
        <v>7200000</v>
      </c>
      <c r="M967" s="8">
        <f>INDEX(Master_Target!$B$2:$M$4, MATCH(J967, Master_Target!$A$2:$A$4, 0), MATCH(TEXT(B967, "[$-421]mmmm"), Master_Target!$B$1:$M$1, 0))</f>
        <v>110000000</v>
      </c>
    </row>
    <row r="968" spans="1:13" x14ac:dyDescent="0.25">
      <c r="A968" s="7" t="s">
        <v>977</v>
      </c>
      <c r="B968" s="11" t="s">
        <v>1334</v>
      </c>
      <c r="C968" s="7">
        <f t="shared" si="60"/>
        <v>12</v>
      </c>
      <c r="D968" s="7" t="str">
        <f t="shared" si="61"/>
        <v>Dec</v>
      </c>
      <c r="E968" s="7" t="s">
        <v>1349</v>
      </c>
      <c r="F968" s="7" t="str">
        <f t="shared" si="62"/>
        <v>Dewi Lestari</v>
      </c>
      <c r="G968" s="7" t="s">
        <v>1358</v>
      </c>
      <c r="H968" s="7" t="s">
        <v>1365</v>
      </c>
      <c r="I968" s="7">
        <v>1</v>
      </c>
      <c r="J968" s="7" t="str">
        <f>INDEX(Master_Produk!$C$2:$C$11,MATCH(H968,Master_Produk!$A$2:$A$11,0))</f>
        <v>Elektronik</v>
      </c>
      <c r="K968" s="8">
        <f>INDEX(Master_Produk!$E$2:$E$11,MATCH(Data_Transaksi!H968,Master_Produk!$A$2:$A$11,0))</f>
        <v>1800000</v>
      </c>
      <c r="L968" s="8">
        <f t="shared" si="63"/>
        <v>1800000</v>
      </c>
      <c r="M968" s="8">
        <f>INDEX(Master_Target!$B$2:$M$4, MATCH(J968, Master_Target!$A$2:$A$4, 0), MATCH(TEXT(B968, "[$-421]mmmm"), Master_Target!$B$1:$M$1, 0))</f>
        <v>110000000</v>
      </c>
    </row>
    <row r="969" spans="1:13" x14ac:dyDescent="0.25">
      <c r="A969" s="7" t="s">
        <v>978</v>
      </c>
      <c r="B969" s="11" t="s">
        <v>1335</v>
      </c>
      <c r="C969" s="7">
        <f t="shared" si="60"/>
        <v>12</v>
      </c>
      <c r="D969" s="7" t="str">
        <f t="shared" si="61"/>
        <v>Dec</v>
      </c>
      <c r="E969" s="7" t="s">
        <v>1352</v>
      </c>
      <c r="F969" s="7" t="str">
        <f t="shared" si="62"/>
        <v>Ahmad Fauzi</v>
      </c>
      <c r="G969" s="7" t="s">
        <v>1360</v>
      </c>
      <c r="H969" s="7" t="s">
        <v>1366</v>
      </c>
      <c r="I969" s="7">
        <v>5</v>
      </c>
      <c r="J969" s="7" t="str">
        <f>INDEX(Master_Produk!$C$2:$C$11,MATCH(H969,Master_Produk!$A$2:$A$11,0))</f>
        <v>Elektronik</v>
      </c>
      <c r="K969" s="8">
        <f>INDEX(Master_Produk!$E$2:$E$11,MATCH(Data_Transaksi!H969,Master_Produk!$A$2:$A$11,0))</f>
        <v>7500000</v>
      </c>
      <c r="L969" s="8">
        <f t="shared" si="63"/>
        <v>37500000</v>
      </c>
      <c r="M969" s="8">
        <f>INDEX(Master_Target!$B$2:$M$4, MATCH(J969, Master_Target!$A$2:$A$4, 0), MATCH(TEXT(B969, "[$-421]mmmm"), Master_Target!$B$1:$M$1, 0))</f>
        <v>110000000</v>
      </c>
    </row>
    <row r="970" spans="1:13" x14ac:dyDescent="0.25">
      <c r="A970" s="7" t="s">
        <v>979</v>
      </c>
      <c r="B970" s="11" t="s">
        <v>1335</v>
      </c>
      <c r="C970" s="7">
        <f t="shared" si="60"/>
        <v>12</v>
      </c>
      <c r="D970" s="7" t="str">
        <f t="shared" si="61"/>
        <v>Dec</v>
      </c>
      <c r="E970" s="7" t="s">
        <v>1348</v>
      </c>
      <c r="F970" s="7" t="str">
        <f t="shared" si="62"/>
        <v>Budi Santoso</v>
      </c>
      <c r="G970" s="7" t="s">
        <v>1357</v>
      </c>
      <c r="H970" s="7" t="s">
        <v>1364</v>
      </c>
      <c r="I970" s="7">
        <v>1</v>
      </c>
      <c r="J970" s="7" t="str">
        <f>INDEX(Master_Produk!$C$2:$C$11,MATCH(H970,Master_Produk!$A$2:$A$11,0))</f>
        <v>Furnitur</v>
      </c>
      <c r="K970" s="8">
        <f>INDEX(Master_Produk!$E$2:$E$11,MATCH(Data_Transaksi!H970,Master_Produk!$A$2:$A$11,0))</f>
        <v>950000</v>
      </c>
      <c r="L970" s="8">
        <f t="shared" si="63"/>
        <v>950000</v>
      </c>
      <c r="M970" s="8">
        <f>INDEX(Master_Target!$B$2:$M$4, MATCH(J970, Master_Target!$A$2:$A$4, 0), MATCH(TEXT(B970, "[$-421]mmmm"), Master_Target!$B$1:$M$1, 0))</f>
        <v>45000000</v>
      </c>
    </row>
    <row r="971" spans="1:13" x14ac:dyDescent="0.25">
      <c r="A971" s="7" t="s">
        <v>980</v>
      </c>
      <c r="B971" s="11" t="s">
        <v>1335</v>
      </c>
      <c r="C971" s="7">
        <f t="shared" si="60"/>
        <v>12</v>
      </c>
      <c r="D971" s="7" t="str">
        <f t="shared" si="61"/>
        <v>Dec</v>
      </c>
      <c r="E971" s="7" t="s">
        <v>1352</v>
      </c>
      <c r="F971" s="7" t="str">
        <f t="shared" si="62"/>
        <v>Ahmad Fauzi</v>
      </c>
      <c r="G971" s="7" t="s">
        <v>1360</v>
      </c>
      <c r="H971" s="7" t="s">
        <v>1364</v>
      </c>
      <c r="I971" s="7">
        <v>3</v>
      </c>
      <c r="J971" s="7" t="str">
        <f>INDEX(Master_Produk!$C$2:$C$11,MATCH(H971,Master_Produk!$A$2:$A$11,0))</f>
        <v>Furnitur</v>
      </c>
      <c r="K971" s="8">
        <f>INDEX(Master_Produk!$E$2:$E$11,MATCH(Data_Transaksi!H971,Master_Produk!$A$2:$A$11,0))</f>
        <v>950000</v>
      </c>
      <c r="L971" s="8">
        <f t="shared" si="63"/>
        <v>2850000</v>
      </c>
      <c r="M971" s="8">
        <f>INDEX(Master_Target!$B$2:$M$4, MATCH(J971, Master_Target!$A$2:$A$4, 0), MATCH(TEXT(B971, "[$-421]mmmm"), Master_Target!$B$1:$M$1, 0))</f>
        <v>45000000</v>
      </c>
    </row>
    <row r="972" spans="1:13" x14ac:dyDescent="0.25">
      <c r="A972" s="7" t="s">
        <v>981</v>
      </c>
      <c r="B972" s="11" t="s">
        <v>1336</v>
      </c>
      <c r="C972" s="7">
        <f t="shared" si="60"/>
        <v>12</v>
      </c>
      <c r="D972" s="7" t="str">
        <f t="shared" si="61"/>
        <v>Dec</v>
      </c>
      <c r="E972" s="7" t="s">
        <v>1354</v>
      </c>
      <c r="F972" s="7" t="str">
        <f t="shared" si="62"/>
        <v>Mega Utami</v>
      </c>
      <c r="G972" s="7" t="s">
        <v>1360</v>
      </c>
      <c r="H972" s="7" t="s">
        <v>1363</v>
      </c>
      <c r="I972" s="7">
        <v>1</v>
      </c>
      <c r="J972" s="7" t="str">
        <f>INDEX(Master_Produk!$C$2:$C$11,MATCH(H972,Master_Produk!$A$2:$A$11,0))</f>
        <v>Pakaian</v>
      </c>
      <c r="K972" s="8">
        <f>INDEX(Master_Produk!$E$2:$E$11,MATCH(Data_Transaksi!H972,Master_Produk!$A$2:$A$11,0))</f>
        <v>250000</v>
      </c>
      <c r="L972" s="8">
        <f t="shared" si="63"/>
        <v>250000</v>
      </c>
      <c r="M972" s="8">
        <f>INDEX(Master_Target!$B$2:$M$4, MATCH(J972, Master_Target!$A$2:$A$4, 0), MATCH(TEXT(B972, "[$-421]mmmm"), Master_Target!$B$1:$M$1, 0))</f>
        <v>35000000</v>
      </c>
    </row>
    <row r="973" spans="1:13" x14ac:dyDescent="0.25">
      <c r="A973" s="7" t="s">
        <v>982</v>
      </c>
      <c r="B973" s="11" t="s">
        <v>1337</v>
      </c>
      <c r="C973" s="7">
        <f t="shared" si="60"/>
        <v>12</v>
      </c>
      <c r="D973" s="7" t="str">
        <f t="shared" si="61"/>
        <v>Dec</v>
      </c>
      <c r="E973" s="7" t="s">
        <v>1347</v>
      </c>
      <c r="F973" s="7" t="str">
        <f t="shared" si="62"/>
        <v>Rina Marlina</v>
      </c>
      <c r="G973" s="7" t="s">
        <v>1357</v>
      </c>
      <c r="H973" s="7" t="s">
        <v>1369</v>
      </c>
      <c r="I973" s="7">
        <v>4</v>
      </c>
      <c r="J973" s="7" t="str">
        <f>INDEX(Master_Produk!$C$2:$C$11,MATCH(H973,Master_Produk!$A$2:$A$11,0))</f>
        <v>Elektronik</v>
      </c>
      <c r="K973" s="8">
        <f>INDEX(Master_Produk!$E$2:$E$11,MATCH(Data_Transaksi!H973,Master_Produk!$A$2:$A$11,0))</f>
        <v>4500000</v>
      </c>
      <c r="L973" s="8">
        <f t="shared" si="63"/>
        <v>18000000</v>
      </c>
      <c r="M973" s="8">
        <f>INDEX(Master_Target!$B$2:$M$4, MATCH(J973, Master_Target!$A$2:$A$4, 0), MATCH(TEXT(B973, "[$-421]mmmm"), Master_Target!$B$1:$M$1, 0))</f>
        <v>110000000</v>
      </c>
    </row>
    <row r="974" spans="1:13" x14ac:dyDescent="0.25">
      <c r="A974" s="7" t="s">
        <v>983</v>
      </c>
      <c r="B974" s="11" t="s">
        <v>1337</v>
      </c>
      <c r="C974" s="7">
        <f t="shared" si="60"/>
        <v>12</v>
      </c>
      <c r="D974" s="7" t="str">
        <f t="shared" si="61"/>
        <v>Dec</v>
      </c>
      <c r="E974" s="7" t="s">
        <v>1350</v>
      </c>
      <c r="F974" s="7" t="str">
        <f t="shared" si="62"/>
        <v>Andi Wijaya</v>
      </c>
      <c r="G974" s="7" t="s">
        <v>1360</v>
      </c>
      <c r="H974" s="7" t="s">
        <v>1362</v>
      </c>
      <c r="I974" s="7">
        <v>4</v>
      </c>
      <c r="J974" s="7" t="str">
        <f>INDEX(Master_Produk!$C$2:$C$11,MATCH(H974,Master_Produk!$A$2:$A$11,0))</f>
        <v>Pakaian</v>
      </c>
      <c r="K974" s="8">
        <f>INDEX(Master_Produk!$E$2:$E$11,MATCH(Data_Transaksi!H974,Master_Produk!$A$2:$A$11,0))</f>
        <v>350000</v>
      </c>
      <c r="L974" s="8">
        <f t="shared" si="63"/>
        <v>1400000</v>
      </c>
      <c r="M974" s="8">
        <f>INDEX(Master_Target!$B$2:$M$4, MATCH(J974, Master_Target!$A$2:$A$4, 0), MATCH(TEXT(B974, "[$-421]mmmm"), Master_Target!$B$1:$M$1, 0))</f>
        <v>35000000</v>
      </c>
    </row>
    <row r="975" spans="1:13" x14ac:dyDescent="0.25">
      <c r="A975" s="7" t="s">
        <v>984</v>
      </c>
      <c r="B975" s="11" t="s">
        <v>1337</v>
      </c>
      <c r="C975" s="7">
        <f t="shared" si="60"/>
        <v>12</v>
      </c>
      <c r="D975" s="7" t="str">
        <f t="shared" si="61"/>
        <v>Dec</v>
      </c>
      <c r="E975" s="7" t="s">
        <v>1347</v>
      </c>
      <c r="F975" s="7" t="str">
        <f t="shared" si="62"/>
        <v>Rina Marlina</v>
      </c>
      <c r="G975" s="7" t="s">
        <v>1357</v>
      </c>
      <c r="H975" s="7" t="s">
        <v>1369</v>
      </c>
      <c r="I975" s="7">
        <v>3</v>
      </c>
      <c r="J975" s="7" t="str">
        <f>INDEX(Master_Produk!$C$2:$C$11,MATCH(H975,Master_Produk!$A$2:$A$11,0))</f>
        <v>Elektronik</v>
      </c>
      <c r="K975" s="8">
        <f>INDEX(Master_Produk!$E$2:$E$11,MATCH(Data_Transaksi!H975,Master_Produk!$A$2:$A$11,0))</f>
        <v>4500000</v>
      </c>
      <c r="L975" s="8">
        <f t="shared" si="63"/>
        <v>13500000</v>
      </c>
      <c r="M975" s="8">
        <f>INDEX(Master_Target!$B$2:$M$4, MATCH(J975, Master_Target!$A$2:$A$4, 0), MATCH(TEXT(B975, "[$-421]mmmm"), Master_Target!$B$1:$M$1, 0))</f>
        <v>110000000</v>
      </c>
    </row>
    <row r="976" spans="1:13" x14ac:dyDescent="0.25">
      <c r="A976" s="7" t="s">
        <v>985</v>
      </c>
      <c r="B976" s="11" t="s">
        <v>1337</v>
      </c>
      <c r="C976" s="7">
        <f t="shared" si="60"/>
        <v>12</v>
      </c>
      <c r="D976" s="7" t="str">
        <f t="shared" si="61"/>
        <v>Dec</v>
      </c>
      <c r="E976" s="7" t="s">
        <v>1355</v>
      </c>
      <c r="F976" s="7" t="str">
        <f t="shared" si="62"/>
        <v>Bambang H.</v>
      </c>
      <c r="G976" s="7" t="s">
        <v>1358</v>
      </c>
      <c r="H976" s="7" t="s">
        <v>1368</v>
      </c>
      <c r="I976" s="7">
        <v>3</v>
      </c>
      <c r="J976" s="7" t="str">
        <f>INDEX(Master_Produk!$C$2:$C$11,MATCH(H976,Master_Produk!$A$2:$A$11,0))</f>
        <v>Furnitur</v>
      </c>
      <c r="K976" s="8">
        <f>INDEX(Master_Produk!$E$2:$E$11,MATCH(Data_Transaksi!H976,Master_Produk!$A$2:$A$11,0))</f>
        <v>650000</v>
      </c>
      <c r="L976" s="8">
        <f t="shared" si="63"/>
        <v>1950000</v>
      </c>
      <c r="M976" s="8">
        <f>INDEX(Master_Target!$B$2:$M$4, MATCH(J976, Master_Target!$A$2:$A$4, 0), MATCH(TEXT(B976, "[$-421]mmmm"), Master_Target!$B$1:$M$1, 0))</f>
        <v>45000000</v>
      </c>
    </row>
    <row r="977" spans="1:13" x14ac:dyDescent="0.25">
      <c r="A977" s="7" t="s">
        <v>986</v>
      </c>
      <c r="B977" s="11" t="s">
        <v>1338</v>
      </c>
      <c r="C977" s="7">
        <f t="shared" si="60"/>
        <v>12</v>
      </c>
      <c r="D977" s="7" t="str">
        <f t="shared" si="61"/>
        <v>Dec</v>
      </c>
      <c r="E977" s="7" t="s">
        <v>1347</v>
      </c>
      <c r="F977" s="7" t="str">
        <f t="shared" si="62"/>
        <v>Rina Marlina</v>
      </c>
      <c r="G977" s="7" t="s">
        <v>1357</v>
      </c>
      <c r="H977" s="7" t="s">
        <v>1370</v>
      </c>
      <c r="I977" s="7">
        <v>1</v>
      </c>
      <c r="J977" s="7" t="str">
        <f>INDEX(Master_Produk!$C$2:$C$11,MATCH(H977,Master_Produk!$A$2:$A$11,0))</f>
        <v>Furnitur</v>
      </c>
      <c r="K977" s="8">
        <f>INDEX(Master_Produk!$E$2:$E$11,MATCH(Data_Transaksi!H977,Master_Produk!$A$2:$A$11,0))</f>
        <v>1200000</v>
      </c>
      <c r="L977" s="8">
        <f t="shared" si="63"/>
        <v>1200000</v>
      </c>
      <c r="M977" s="8">
        <f>INDEX(Master_Target!$B$2:$M$4, MATCH(J977, Master_Target!$A$2:$A$4, 0), MATCH(TEXT(B977, "[$-421]mmmm"), Master_Target!$B$1:$M$1, 0))</f>
        <v>45000000</v>
      </c>
    </row>
    <row r="978" spans="1:13" x14ac:dyDescent="0.25">
      <c r="A978" s="7" t="s">
        <v>987</v>
      </c>
      <c r="B978" s="11" t="s">
        <v>1339</v>
      </c>
      <c r="C978" s="7">
        <f t="shared" si="60"/>
        <v>12</v>
      </c>
      <c r="D978" s="7" t="str">
        <f t="shared" si="61"/>
        <v>Dec</v>
      </c>
      <c r="E978" s="7" t="s">
        <v>1351</v>
      </c>
      <c r="F978" s="7" t="str">
        <f t="shared" si="62"/>
        <v>Siti Rahma</v>
      </c>
      <c r="G978" s="7" t="s">
        <v>1361</v>
      </c>
      <c r="H978" s="7" t="s">
        <v>1371</v>
      </c>
      <c r="I978" s="7">
        <v>1</v>
      </c>
      <c r="J978" s="7" t="str">
        <f>INDEX(Master_Produk!$C$2:$C$11,MATCH(H978,Master_Produk!$A$2:$A$11,0))</f>
        <v>Pakaian</v>
      </c>
      <c r="K978" s="8">
        <f>INDEX(Master_Produk!$E$2:$E$11,MATCH(Data_Transaksi!H978,Master_Produk!$A$2:$A$11,0))</f>
        <v>280000</v>
      </c>
      <c r="L978" s="8">
        <f t="shared" si="63"/>
        <v>280000</v>
      </c>
      <c r="M978" s="8">
        <f>INDEX(Master_Target!$B$2:$M$4, MATCH(J978, Master_Target!$A$2:$A$4, 0), MATCH(TEXT(B978, "[$-421]mmmm"), Master_Target!$B$1:$M$1, 0))</f>
        <v>35000000</v>
      </c>
    </row>
    <row r="979" spans="1:13" x14ac:dyDescent="0.25">
      <c r="A979" s="7" t="s">
        <v>988</v>
      </c>
      <c r="B979" s="11" t="s">
        <v>1339</v>
      </c>
      <c r="C979" s="7">
        <f t="shared" si="60"/>
        <v>12</v>
      </c>
      <c r="D979" s="7" t="str">
        <f t="shared" si="61"/>
        <v>Dec</v>
      </c>
      <c r="E979" s="7" t="s">
        <v>1355</v>
      </c>
      <c r="F979" s="7" t="str">
        <f t="shared" si="62"/>
        <v>Bambang H.</v>
      </c>
      <c r="G979" s="7" t="s">
        <v>1357</v>
      </c>
      <c r="H979" s="7" t="s">
        <v>1371</v>
      </c>
      <c r="I979" s="7">
        <v>2</v>
      </c>
      <c r="J979" s="7" t="str">
        <f>INDEX(Master_Produk!$C$2:$C$11,MATCH(H979,Master_Produk!$A$2:$A$11,0))</f>
        <v>Pakaian</v>
      </c>
      <c r="K979" s="8">
        <f>INDEX(Master_Produk!$E$2:$E$11,MATCH(Data_Transaksi!H979,Master_Produk!$A$2:$A$11,0))</f>
        <v>280000</v>
      </c>
      <c r="L979" s="8">
        <f t="shared" si="63"/>
        <v>560000</v>
      </c>
      <c r="M979" s="8">
        <f>INDEX(Master_Target!$B$2:$M$4, MATCH(J979, Master_Target!$A$2:$A$4, 0), MATCH(TEXT(B979, "[$-421]mmmm"), Master_Target!$B$1:$M$1, 0))</f>
        <v>35000000</v>
      </c>
    </row>
    <row r="980" spans="1:13" x14ac:dyDescent="0.25">
      <c r="A980" s="7" t="s">
        <v>989</v>
      </c>
      <c r="B980" s="11" t="s">
        <v>1339</v>
      </c>
      <c r="C980" s="7">
        <f t="shared" si="60"/>
        <v>12</v>
      </c>
      <c r="D980" s="7" t="str">
        <f t="shared" si="61"/>
        <v>Dec</v>
      </c>
      <c r="E980" s="7" t="s">
        <v>1349</v>
      </c>
      <c r="F980" s="7" t="str">
        <f t="shared" si="62"/>
        <v>Dewi Lestari</v>
      </c>
      <c r="G980" s="7" t="s">
        <v>1360</v>
      </c>
      <c r="H980" s="7" t="s">
        <v>1364</v>
      </c>
      <c r="I980" s="7">
        <v>1</v>
      </c>
      <c r="J980" s="7" t="str">
        <f>INDEX(Master_Produk!$C$2:$C$11,MATCH(H980,Master_Produk!$A$2:$A$11,0))</f>
        <v>Furnitur</v>
      </c>
      <c r="K980" s="8">
        <f>INDEX(Master_Produk!$E$2:$E$11,MATCH(Data_Transaksi!H980,Master_Produk!$A$2:$A$11,0))</f>
        <v>950000</v>
      </c>
      <c r="L980" s="8">
        <f t="shared" si="63"/>
        <v>950000</v>
      </c>
      <c r="M980" s="8">
        <f>INDEX(Master_Target!$B$2:$M$4, MATCH(J980, Master_Target!$A$2:$A$4, 0), MATCH(TEXT(B980, "[$-421]mmmm"), Master_Target!$B$1:$M$1, 0))</f>
        <v>45000000</v>
      </c>
    </row>
    <row r="981" spans="1:13" x14ac:dyDescent="0.25">
      <c r="A981" s="7" t="s">
        <v>990</v>
      </c>
      <c r="B981" s="11" t="s">
        <v>1340</v>
      </c>
      <c r="C981" s="7">
        <f t="shared" si="60"/>
        <v>12</v>
      </c>
      <c r="D981" s="7" t="str">
        <f t="shared" si="61"/>
        <v>Dec</v>
      </c>
      <c r="E981" s="7" t="s">
        <v>1352</v>
      </c>
      <c r="F981" s="7" t="str">
        <f t="shared" si="62"/>
        <v>Ahmad Fauzi</v>
      </c>
      <c r="G981" s="7" t="s">
        <v>1358</v>
      </c>
      <c r="H981" s="7" t="s">
        <v>1367</v>
      </c>
      <c r="I981" s="7">
        <v>2</v>
      </c>
      <c r="J981" s="7" t="str">
        <f>INDEX(Master_Produk!$C$2:$C$11,MATCH(H981,Master_Produk!$A$2:$A$11,0))</f>
        <v>Elektronik</v>
      </c>
      <c r="K981" s="8">
        <f>INDEX(Master_Produk!$E$2:$E$11,MATCH(Data_Transaksi!H981,Master_Produk!$A$2:$A$11,0))</f>
        <v>250000</v>
      </c>
      <c r="L981" s="8">
        <f t="shared" si="63"/>
        <v>500000</v>
      </c>
      <c r="M981" s="8">
        <f>INDEX(Master_Target!$B$2:$M$4, MATCH(J981, Master_Target!$A$2:$A$4, 0), MATCH(TEXT(B981, "[$-421]mmmm"), Master_Target!$B$1:$M$1, 0))</f>
        <v>110000000</v>
      </c>
    </row>
    <row r="982" spans="1:13" x14ac:dyDescent="0.25">
      <c r="A982" s="7" t="s">
        <v>991</v>
      </c>
      <c r="B982" s="11" t="s">
        <v>1340</v>
      </c>
      <c r="C982" s="7">
        <f t="shared" si="60"/>
        <v>12</v>
      </c>
      <c r="D982" s="7" t="str">
        <f t="shared" si="61"/>
        <v>Dec</v>
      </c>
      <c r="E982" s="7" t="s">
        <v>1349</v>
      </c>
      <c r="F982" s="7" t="str">
        <f t="shared" si="62"/>
        <v>Dewi Lestari</v>
      </c>
      <c r="G982" s="7" t="s">
        <v>1357</v>
      </c>
      <c r="H982" s="7" t="s">
        <v>1369</v>
      </c>
      <c r="I982" s="7">
        <v>1</v>
      </c>
      <c r="J982" s="7" t="str">
        <f>INDEX(Master_Produk!$C$2:$C$11,MATCH(H982,Master_Produk!$A$2:$A$11,0))</f>
        <v>Elektronik</v>
      </c>
      <c r="K982" s="8">
        <f>INDEX(Master_Produk!$E$2:$E$11,MATCH(Data_Transaksi!H982,Master_Produk!$A$2:$A$11,0))</f>
        <v>4500000</v>
      </c>
      <c r="L982" s="8">
        <f t="shared" si="63"/>
        <v>4500000</v>
      </c>
      <c r="M982" s="8">
        <f>INDEX(Master_Target!$B$2:$M$4, MATCH(J982, Master_Target!$A$2:$A$4, 0), MATCH(TEXT(B982, "[$-421]mmmm"), Master_Target!$B$1:$M$1, 0))</f>
        <v>110000000</v>
      </c>
    </row>
    <row r="983" spans="1:13" x14ac:dyDescent="0.25">
      <c r="A983" s="7" t="s">
        <v>992</v>
      </c>
      <c r="B983" s="11" t="s">
        <v>1341</v>
      </c>
      <c r="C983" s="7">
        <f t="shared" si="60"/>
        <v>12</v>
      </c>
      <c r="D983" s="7" t="str">
        <f t="shared" si="61"/>
        <v>Dec</v>
      </c>
      <c r="E983" s="7" t="s">
        <v>1354</v>
      </c>
      <c r="F983" s="7" t="str">
        <f t="shared" si="62"/>
        <v>Mega Utami</v>
      </c>
      <c r="G983" s="7" t="s">
        <v>1360</v>
      </c>
      <c r="H983" s="7" t="s">
        <v>1363</v>
      </c>
      <c r="I983" s="7">
        <v>5</v>
      </c>
      <c r="J983" s="7" t="str">
        <f>INDEX(Master_Produk!$C$2:$C$11,MATCH(H983,Master_Produk!$A$2:$A$11,0))</f>
        <v>Pakaian</v>
      </c>
      <c r="K983" s="8">
        <f>INDEX(Master_Produk!$E$2:$E$11,MATCH(Data_Transaksi!H983,Master_Produk!$A$2:$A$11,0))</f>
        <v>250000</v>
      </c>
      <c r="L983" s="8">
        <f t="shared" si="63"/>
        <v>1250000</v>
      </c>
      <c r="M983" s="8">
        <f>INDEX(Master_Target!$B$2:$M$4, MATCH(J983, Master_Target!$A$2:$A$4, 0), MATCH(TEXT(B983, "[$-421]mmmm"), Master_Target!$B$1:$M$1, 0))</f>
        <v>35000000</v>
      </c>
    </row>
    <row r="984" spans="1:13" x14ac:dyDescent="0.25">
      <c r="A984" s="7" t="s">
        <v>993</v>
      </c>
      <c r="B984" s="11" t="s">
        <v>1341</v>
      </c>
      <c r="C984" s="7">
        <f t="shared" si="60"/>
        <v>12</v>
      </c>
      <c r="D984" s="7" t="str">
        <f t="shared" si="61"/>
        <v>Dec</v>
      </c>
      <c r="E984" s="7" t="s">
        <v>1355</v>
      </c>
      <c r="F984" s="7" t="str">
        <f t="shared" si="62"/>
        <v>Bambang H.</v>
      </c>
      <c r="G984" s="7" t="s">
        <v>1357</v>
      </c>
      <c r="H984" s="7" t="s">
        <v>1367</v>
      </c>
      <c r="I984" s="7">
        <v>2</v>
      </c>
      <c r="J984" s="7" t="str">
        <f>INDEX(Master_Produk!$C$2:$C$11,MATCH(H984,Master_Produk!$A$2:$A$11,0))</f>
        <v>Elektronik</v>
      </c>
      <c r="K984" s="8">
        <f>INDEX(Master_Produk!$E$2:$E$11,MATCH(Data_Transaksi!H984,Master_Produk!$A$2:$A$11,0))</f>
        <v>250000</v>
      </c>
      <c r="L984" s="8">
        <f t="shared" si="63"/>
        <v>500000</v>
      </c>
      <c r="M984" s="8">
        <f>INDEX(Master_Target!$B$2:$M$4, MATCH(J984, Master_Target!$A$2:$A$4, 0), MATCH(TEXT(B984, "[$-421]mmmm"), Master_Target!$B$1:$M$1, 0))</f>
        <v>110000000</v>
      </c>
    </row>
    <row r="985" spans="1:13" x14ac:dyDescent="0.25">
      <c r="A985" s="7" t="s">
        <v>994</v>
      </c>
      <c r="B985" s="11" t="s">
        <v>1342</v>
      </c>
      <c r="C985" s="7">
        <f t="shared" si="60"/>
        <v>12</v>
      </c>
      <c r="D985" s="7" t="str">
        <f t="shared" si="61"/>
        <v>Dec</v>
      </c>
      <c r="E985" s="7" t="s">
        <v>1355</v>
      </c>
      <c r="F985" s="7" t="str">
        <f t="shared" si="62"/>
        <v>Bambang H.</v>
      </c>
      <c r="G985" s="7" t="s">
        <v>1358</v>
      </c>
      <c r="H985" s="7" t="s">
        <v>1368</v>
      </c>
      <c r="I985" s="7">
        <v>3</v>
      </c>
      <c r="J985" s="7" t="str">
        <f>INDEX(Master_Produk!$C$2:$C$11,MATCH(H985,Master_Produk!$A$2:$A$11,0))</f>
        <v>Furnitur</v>
      </c>
      <c r="K985" s="8">
        <f>INDEX(Master_Produk!$E$2:$E$11,MATCH(Data_Transaksi!H985,Master_Produk!$A$2:$A$11,0))</f>
        <v>650000</v>
      </c>
      <c r="L985" s="8">
        <f t="shared" si="63"/>
        <v>1950000</v>
      </c>
      <c r="M985" s="8">
        <f>INDEX(Master_Target!$B$2:$M$4, MATCH(J985, Master_Target!$A$2:$A$4, 0), MATCH(TEXT(B985, "[$-421]mmmm"), Master_Target!$B$1:$M$1, 0))</f>
        <v>45000000</v>
      </c>
    </row>
    <row r="986" spans="1:13" x14ac:dyDescent="0.25">
      <c r="A986" s="7" t="s">
        <v>995</v>
      </c>
      <c r="B986" s="11" t="s">
        <v>1342</v>
      </c>
      <c r="C986" s="7">
        <f t="shared" si="60"/>
        <v>12</v>
      </c>
      <c r="D986" s="7" t="str">
        <f t="shared" si="61"/>
        <v>Dec</v>
      </c>
      <c r="E986" s="7" t="s">
        <v>1350</v>
      </c>
      <c r="F986" s="7" t="str">
        <f t="shared" si="62"/>
        <v>Andi Wijaya</v>
      </c>
      <c r="G986" s="7" t="s">
        <v>1358</v>
      </c>
      <c r="H986" s="7" t="s">
        <v>1371</v>
      </c>
      <c r="I986" s="7">
        <v>1</v>
      </c>
      <c r="J986" s="7" t="str">
        <f>INDEX(Master_Produk!$C$2:$C$11,MATCH(H986,Master_Produk!$A$2:$A$11,0))</f>
        <v>Pakaian</v>
      </c>
      <c r="K986" s="8">
        <f>INDEX(Master_Produk!$E$2:$E$11,MATCH(Data_Transaksi!H986,Master_Produk!$A$2:$A$11,0))</f>
        <v>280000</v>
      </c>
      <c r="L986" s="8">
        <f t="shared" si="63"/>
        <v>280000</v>
      </c>
      <c r="M986" s="8">
        <f>INDEX(Master_Target!$B$2:$M$4, MATCH(J986, Master_Target!$A$2:$A$4, 0), MATCH(TEXT(B986, "[$-421]mmmm"), Master_Target!$B$1:$M$1, 0))</f>
        <v>35000000</v>
      </c>
    </row>
    <row r="987" spans="1:13" x14ac:dyDescent="0.25">
      <c r="A987" s="7" t="s">
        <v>996</v>
      </c>
      <c r="B987" s="11" t="s">
        <v>1342</v>
      </c>
      <c r="C987" s="7">
        <f t="shared" si="60"/>
        <v>12</v>
      </c>
      <c r="D987" s="7" t="str">
        <f t="shared" si="61"/>
        <v>Dec</v>
      </c>
      <c r="E987" s="7" t="s">
        <v>1355</v>
      </c>
      <c r="F987" s="7" t="str">
        <f t="shared" si="62"/>
        <v>Bambang H.</v>
      </c>
      <c r="G987" s="7" t="s">
        <v>1361</v>
      </c>
      <c r="H987" s="7" t="s">
        <v>1362</v>
      </c>
      <c r="I987" s="7">
        <v>4</v>
      </c>
      <c r="J987" s="7" t="str">
        <f>INDEX(Master_Produk!$C$2:$C$11,MATCH(H987,Master_Produk!$A$2:$A$11,0))</f>
        <v>Pakaian</v>
      </c>
      <c r="K987" s="8">
        <f>INDEX(Master_Produk!$E$2:$E$11,MATCH(Data_Transaksi!H987,Master_Produk!$A$2:$A$11,0))</f>
        <v>350000</v>
      </c>
      <c r="L987" s="8">
        <f t="shared" si="63"/>
        <v>1400000</v>
      </c>
      <c r="M987" s="8">
        <f>INDEX(Master_Target!$B$2:$M$4, MATCH(J987, Master_Target!$A$2:$A$4, 0), MATCH(TEXT(B987, "[$-421]mmmm"), Master_Target!$B$1:$M$1, 0))</f>
        <v>35000000</v>
      </c>
    </row>
    <row r="988" spans="1:13" x14ac:dyDescent="0.25">
      <c r="A988" s="7" t="s">
        <v>997</v>
      </c>
      <c r="B988" s="11" t="s">
        <v>1342</v>
      </c>
      <c r="C988" s="7">
        <f t="shared" si="60"/>
        <v>12</v>
      </c>
      <c r="D988" s="7" t="str">
        <f t="shared" si="61"/>
        <v>Dec</v>
      </c>
      <c r="E988" s="7" t="s">
        <v>1352</v>
      </c>
      <c r="F988" s="7" t="str">
        <f t="shared" si="62"/>
        <v>Ahmad Fauzi</v>
      </c>
      <c r="G988" s="7" t="s">
        <v>1358</v>
      </c>
      <c r="H988" s="7" t="s">
        <v>1365</v>
      </c>
      <c r="I988" s="7">
        <v>4</v>
      </c>
      <c r="J988" s="7" t="str">
        <f>INDEX(Master_Produk!$C$2:$C$11,MATCH(H988,Master_Produk!$A$2:$A$11,0))</f>
        <v>Elektronik</v>
      </c>
      <c r="K988" s="8">
        <f>INDEX(Master_Produk!$E$2:$E$11,MATCH(Data_Transaksi!H988,Master_Produk!$A$2:$A$11,0))</f>
        <v>1800000</v>
      </c>
      <c r="L988" s="8">
        <f t="shared" si="63"/>
        <v>7200000</v>
      </c>
      <c r="M988" s="8">
        <f>INDEX(Master_Target!$B$2:$M$4, MATCH(J988, Master_Target!$A$2:$A$4, 0), MATCH(TEXT(B988, "[$-421]mmmm"), Master_Target!$B$1:$M$1, 0))</f>
        <v>110000000</v>
      </c>
    </row>
    <row r="989" spans="1:13" x14ac:dyDescent="0.25">
      <c r="A989" s="7" t="s">
        <v>998</v>
      </c>
      <c r="B989" s="11" t="s">
        <v>1342</v>
      </c>
      <c r="C989" s="7">
        <f t="shared" si="60"/>
        <v>12</v>
      </c>
      <c r="D989" s="7" t="str">
        <f t="shared" si="61"/>
        <v>Dec</v>
      </c>
      <c r="E989" s="7" t="s">
        <v>1351</v>
      </c>
      <c r="F989" s="7" t="str">
        <f t="shared" si="62"/>
        <v>Siti Rahma</v>
      </c>
      <c r="G989" s="7" t="s">
        <v>1360</v>
      </c>
      <c r="H989" s="7" t="s">
        <v>1362</v>
      </c>
      <c r="I989" s="7">
        <v>2</v>
      </c>
      <c r="J989" s="7" t="str">
        <f>INDEX(Master_Produk!$C$2:$C$11,MATCH(H989,Master_Produk!$A$2:$A$11,0))</f>
        <v>Pakaian</v>
      </c>
      <c r="K989" s="8">
        <f>INDEX(Master_Produk!$E$2:$E$11,MATCH(Data_Transaksi!H989,Master_Produk!$A$2:$A$11,0))</f>
        <v>350000</v>
      </c>
      <c r="L989" s="8">
        <f t="shared" si="63"/>
        <v>700000</v>
      </c>
      <c r="M989" s="8">
        <f>INDEX(Master_Target!$B$2:$M$4, MATCH(J989, Master_Target!$A$2:$A$4, 0), MATCH(TEXT(B989, "[$-421]mmmm"), Master_Target!$B$1:$M$1, 0))</f>
        <v>35000000</v>
      </c>
    </row>
    <row r="990" spans="1:13" x14ac:dyDescent="0.25">
      <c r="A990" s="7" t="s">
        <v>999</v>
      </c>
      <c r="B990" s="11" t="s">
        <v>1342</v>
      </c>
      <c r="C990" s="7">
        <f t="shared" si="60"/>
        <v>12</v>
      </c>
      <c r="D990" s="7" t="str">
        <f t="shared" si="61"/>
        <v>Dec</v>
      </c>
      <c r="E990" s="7" t="s">
        <v>1354</v>
      </c>
      <c r="F990" s="7" t="str">
        <f t="shared" si="62"/>
        <v>Mega Utami</v>
      </c>
      <c r="G990" s="7" t="s">
        <v>1358</v>
      </c>
      <c r="H990" s="7" t="s">
        <v>1365</v>
      </c>
      <c r="I990" s="7">
        <v>2</v>
      </c>
      <c r="J990" s="7" t="str">
        <f>INDEX(Master_Produk!$C$2:$C$11,MATCH(H990,Master_Produk!$A$2:$A$11,0))</f>
        <v>Elektronik</v>
      </c>
      <c r="K990" s="8">
        <f>INDEX(Master_Produk!$E$2:$E$11,MATCH(Data_Transaksi!H990,Master_Produk!$A$2:$A$11,0))</f>
        <v>1800000</v>
      </c>
      <c r="L990" s="8">
        <f t="shared" si="63"/>
        <v>3600000</v>
      </c>
      <c r="M990" s="8">
        <f>INDEX(Master_Target!$B$2:$M$4, MATCH(J990, Master_Target!$A$2:$A$4, 0), MATCH(TEXT(B990, "[$-421]mmmm"), Master_Target!$B$1:$M$1, 0))</f>
        <v>110000000</v>
      </c>
    </row>
    <row r="991" spans="1:13" x14ac:dyDescent="0.25">
      <c r="A991" s="7" t="s">
        <v>1000</v>
      </c>
      <c r="B991" s="11" t="s">
        <v>1343</v>
      </c>
      <c r="C991" s="7">
        <f t="shared" si="60"/>
        <v>12</v>
      </c>
      <c r="D991" s="7" t="str">
        <f t="shared" si="61"/>
        <v>Dec</v>
      </c>
      <c r="E991" s="7" t="s">
        <v>1350</v>
      </c>
      <c r="F991" s="7" t="str">
        <f t="shared" si="62"/>
        <v>Andi Wijaya</v>
      </c>
      <c r="G991" s="7" t="s">
        <v>1358</v>
      </c>
      <c r="H991" s="7" t="s">
        <v>1362</v>
      </c>
      <c r="I991" s="7">
        <v>3</v>
      </c>
      <c r="J991" s="7" t="str">
        <f>INDEX(Master_Produk!$C$2:$C$11,MATCH(H991,Master_Produk!$A$2:$A$11,0))</f>
        <v>Pakaian</v>
      </c>
      <c r="K991" s="8">
        <f>INDEX(Master_Produk!$E$2:$E$11,MATCH(Data_Transaksi!H991,Master_Produk!$A$2:$A$11,0))</f>
        <v>350000</v>
      </c>
      <c r="L991" s="8">
        <f t="shared" si="63"/>
        <v>1050000</v>
      </c>
      <c r="M991" s="8">
        <f>INDEX(Master_Target!$B$2:$M$4, MATCH(J991, Master_Target!$A$2:$A$4, 0), MATCH(TEXT(B991, "[$-421]mmmm"), Master_Target!$B$1:$M$1, 0))</f>
        <v>35000000</v>
      </c>
    </row>
    <row r="992" spans="1:13" x14ac:dyDescent="0.25">
      <c r="A992" s="7" t="s">
        <v>1001</v>
      </c>
      <c r="B992" s="11" t="s">
        <v>1343</v>
      </c>
      <c r="C992" s="7">
        <f t="shared" si="60"/>
        <v>12</v>
      </c>
      <c r="D992" s="7" t="str">
        <f t="shared" si="61"/>
        <v>Dec</v>
      </c>
      <c r="E992" s="7" t="s">
        <v>1353</v>
      </c>
      <c r="F992" s="7" t="str">
        <f t="shared" si="62"/>
        <v>Sari Yuliana</v>
      </c>
      <c r="G992" s="7" t="s">
        <v>1360</v>
      </c>
      <c r="H992" s="7" t="s">
        <v>1369</v>
      </c>
      <c r="I992" s="7">
        <v>1</v>
      </c>
      <c r="J992" s="7" t="str">
        <f>INDEX(Master_Produk!$C$2:$C$11,MATCH(H992,Master_Produk!$A$2:$A$11,0))</f>
        <v>Elektronik</v>
      </c>
      <c r="K992" s="8">
        <f>INDEX(Master_Produk!$E$2:$E$11,MATCH(Data_Transaksi!H992,Master_Produk!$A$2:$A$11,0))</f>
        <v>4500000</v>
      </c>
      <c r="L992" s="8">
        <f t="shared" si="63"/>
        <v>4500000</v>
      </c>
      <c r="M992" s="8">
        <f>INDEX(Master_Target!$B$2:$M$4, MATCH(J992, Master_Target!$A$2:$A$4, 0), MATCH(TEXT(B992, "[$-421]mmmm"), Master_Target!$B$1:$M$1, 0))</f>
        <v>110000000</v>
      </c>
    </row>
    <row r="993" spans="1:13" x14ac:dyDescent="0.25">
      <c r="A993" s="7" t="s">
        <v>1002</v>
      </c>
      <c r="B993" s="11" t="s">
        <v>1344</v>
      </c>
      <c r="C993" s="7">
        <f t="shared" si="60"/>
        <v>12</v>
      </c>
      <c r="D993" s="7" t="str">
        <f t="shared" si="61"/>
        <v>Dec</v>
      </c>
      <c r="E993" s="7" t="s">
        <v>1352</v>
      </c>
      <c r="F993" s="7" t="str">
        <f t="shared" si="62"/>
        <v>Ahmad Fauzi</v>
      </c>
      <c r="G993" s="7" t="s">
        <v>1360</v>
      </c>
      <c r="H993" s="7" t="s">
        <v>1371</v>
      </c>
      <c r="I993" s="7">
        <v>2</v>
      </c>
      <c r="J993" s="7" t="str">
        <f>INDEX(Master_Produk!$C$2:$C$11,MATCH(H993,Master_Produk!$A$2:$A$11,0))</f>
        <v>Pakaian</v>
      </c>
      <c r="K993" s="8">
        <f>INDEX(Master_Produk!$E$2:$E$11,MATCH(Data_Transaksi!H993,Master_Produk!$A$2:$A$11,0))</f>
        <v>280000</v>
      </c>
      <c r="L993" s="8">
        <f t="shared" si="63"/>
        <v>560000</v>
      </c>
      <c r="M993" s="8">
        <f>INDEX(Master_Target!$B$2:$M$4, MATCH(J993, Master_Target!$A$2:$A$4, 0), MATCH(TEXT(B993, "[$-421]mmmm"), Master_Target!$B$1:$M$1, 0))</f>
        <v>35000000</v>
      </c>
    </row>
    <row r="994" spans="1:13" x14ac:dyDescent="0.25">
      <c r="A994" s="7" t="s">
        <v>1003</v>
      </c>
      <c r="B994" s="11" t="s">
        <v>1345</v>
      </c>
      <c r="C994" s="7">
        <f t="shared" si="60"/>
        <v>12</v>
      </c>
      <c r="D994" s="7" t="str">
        <f t="shared" si="61"/>
        <v>Dec</v>
      </c>
      <c r="E994" s="7" t="s">
        <v>1351</v>
      </c>
      <c r="F994" s="7" t="str">
        <f t="shared" si="62"/>
        <v>Siti Rahma</v>
      </c>
      <c r="G994" s="7" t="s">
        <v>1358</v>
      </c>
      <c r="H994" s="7" t="s">
        <v>1371</v>
      </c>
      <c r="I994" s="7">
        <v>1</v>
      </c>
      <c r="J994" s="7" t="str">
        <f>INDEX(Master_Produk!$C$2:$C$11,MATCH(H994,Master_Produk!$A$2:$A$11,0))</f>
        <v>Pakaian</v>
      </c>
      <c r="K994" s="8">
        <f>INDEX(Master_Produk!$E$2:$E$11,MATCH(Data_Transaksi!H994,Master_Produk!$A$2:$A$11,0))</f>
        <v>280000</v>
      </c>
      <c r="L994" s="8">
        <f t="shared" si="63"/>
        <v>280000</v>
      </c>
      <c r="M994" s="8">
        <f>INDEX(Master_Target!$B$2:$M$4, MATCH(J994, Master_Target!$A$2:$A$4, 0), MATCH(TEXT(B994, "[$-421]mmmm"), Master_Target!$B$1:$M$1, 0))</f>
        <v>35000000</v>
      </c>
    </row>
    <row r="995" spans="1:13" x14ac:dyDescent="0.25">
      <c r="A995" s="7" t="s">
        <v>1004</v>
      </c>
      <c r="B995" s="11" t="s">
        <v>1345</v>
      </c>
      <c r="C995" s="7">
        <f t="shared" si="60"/>
        <v>12</v>
      </c>
      <c r="D995" s="7" t="str">
        <f t="shared" si="61"/>
        <v>Dec</v>
      </c>
      <c r="E995" s="7" t="s">
        <v>1347</v>
      </c>
      <c r="F995" s="7" t="str">
        <f t="shared" si="62"/>
        <v>Rina Marlina</v>
      </c>
      <c r="G995" s="7" t="s">
        <v>1358</v>
      </c>
      <c r="H995" s="7" t="s">
        <v>1367</v>
      </c>
      <c r="I995" s="7">
        <v>1</v>
      </c>
      <c r="J995" s="7" t="str">
        <f>INDEX(Master_Produk!$C$2:$C$11,MATCH(H995,Master_Produk!$A$2:$A$11,0))</f>
        <v>Elektronik</v>
      </c>
      <c r="K995" s="8">
        <f>INDEX(Master_Produk!$E$2:$E$11,MATCH(Data_Transaksi!H995,Master_Produk!$A$2:$A$11,0))</f>
        <v>250000</v>
      </c>
      <c r="L995" s="8">
        <f t="shared" si="63"/>
        <v>250000</v>
      </c>
      <c r="M995" s="8">
        <f>INDEX(Master_Target!$B$2:$M$4, MATCH(J995, Master_Target!$A$2:$A$4, 0), MATCH(TEXT(B995, "[$-421]mmmm"), Master_Target!$B$1:$M$1, 0))</f>
        <v>110000000</v>
      </c>
    </row>
    <row r="996" spans="1:13" x14ac:dyDescent="0.25">
      <c r="A996" s="7" t="s">
        <v>1005</v>
      </c>
      <c r="B996" s="11" t="s">
        <v>1346</v>
      </c>
      <c r="C996" s="7">
        <f t="shared" si="60"/>
        <v>12</v>
      </c>
      <c r="D996" s="7" t="str">
        <f t="shared" si="61"/>
        <v>Dec</v>
      </c>
      <c r="E996" s="7" t="s">
        <v>1349</v>
      </c>
      <c r="F996" s="7" t="str">
        <f t="shared" si="62"/>
        <v>Dewi Lestari</v>
      </c>
      <c r="G996" s="7" t="s">
        <v>1357</v>
      </c>
      <c r="H996" s="7" t="s">
        <v>1362</v>
      </c>
      <c r="I996" s="7">
        <v>1</v>
      </c>
      <c r="J996" s="7" t="str">
        <f>INDEX(Master_Produk!$C$2:$C$11,MATCH(H996,Master_Produk!$A$2:$A$11,0))</f>
        <v>Pakaian</v>
      </c>
      <c r="K996" s="8">
        <f>INDEX(Master_Produk!$E$2:$E$11,MATCH(Data_Transaksi!H996,Master_Produk!$A$2:$A$11,0))</f>
        <v>350000</v>
      </c>
      <c r="L996" s="8">
        <f t="shared" si="63"/>
        <v>350000</v>
      </c>
      <c r="M996" s="8">
        <f>INDEX(Master_Target!$B$2:$M$4, MATCH(J996, Master_Target!$A$2:$A$4, 0), MATCH(TEXT(B996, "[$-421]mmmm"), Master_Target!$B$1:$M$1, 0))</f>
        <v>35000000</v>
      </c>
    </row>
    <row r="997" spans="1:13" x14ac:dyDescent="0.25">
      <c r="A997" s="7" t="s">
        <v>1006</v>
      </c>
      <c r="B997" s="11" t="s">
        <v>1346</v>
      </c>
      <c r="C997" s="7">
        <f t="shared" si="60"/>
        <v>12</v>
      </c>
      <c r="D997" s="7" t="str">
        <f t="shared" si="61"/>
        <v>Dec</v>
      </c>
      <c r="E997" s="7" t="s">
        <v>1354</v>
      </c>
      <c r="F997" s="7" t="str">
        <f t="shared" si="62"/>
        <v>Mega Utami</v>
      </c>
      <c r="G997" s="7" t="s">
        <v>1358</v>
      </c>
      <c r="H997" s="7" t="s">
        <v>1370</v>
      </c>
      <c r="I997" s="7">
        <v>1</v>
      </c>
      <c r="J997" s="7" t="str">
        <f>INDEX(Master_Produk!$C$2:$C$11,MATCH(H997,Master_Produk!$A$2:$A$11,0))</f>
        <v>Furnitur</v>
      </c>
      <c r="K997" s="8">
        <f>INDEX(Master_Produk!$E$2:$E$11,MATCH(Data_Transaksi!H997,Master_Produk!$A$2:$A$11,0))</f>
        <v>1200000</v>
      </c>
      <c r="L997" s="8">
        <f t="shared" si="63"/>
        <v>1200000</v>
      </c>
      <c r="M997" s="8">
        <f>INDEX(Master_Target!$B$2:$M$4, MATCH(J997, Master_Target!$A$2:$A$4, 0), MATCH(TEXT(B997, "[$-421]mmmm"), Master_Target!$B$1:$M$1, 0))</f>
        <v>45000000</v>
      </c>
    </row>
    <row r="998" spans="1:13" x14ac:dyDescent="0.25">
      <c r="A998" s="7" t="s">
        <v>1007</v>
      </c>
      <c r="B998" s="11" t="s">
        <v>1346</v>
      </c>
      <c r="C998" s="7">
        <f t="shared" si="60"/>
        <v>12</v>
      </c>
      <c r="D998" s="7" t="str">
        <f t="shared" si="61"/>
        <v>Dec</v>
      </c>
      <c r="E998" s="7" t="s">
        <v>1356</v>
      </c>
      <c r="F998" s="7" t="str">
        <f t="shared" si="62"/>
        <v>Eko Prasetyo</v>
      </c>
      <c r="G998" s="7" t="s">
        <v>1361</v>
      </c>
      <c r="H998" s="7" t="s">
        <v>1363</v>
      </c>
      <c r="I998" s="7">
        <v>1</v>
      </c>
      <c r="J998" s="7" t="str">
        <f>INDEX(Master_Produk!$C$2:$C$11,MATCH(H998,Master_Produk!$A$2:$A$11,0))</f>
        <v>Pakaian</v>
      </c>
      <c r="K998" s="8">
        <f>INDEX(Master_Produk!$E$2:$E$11,MATCH(Data_Transaksi!H998,Master_Produk!$A$2:$A$11,0))</f>
        <v>250000</v>
      </c>
      <c r="L998" s="8">
        <f t="shared" si="63"/>
        <v>250000</v>
      </c>
      <c r="M998" s="8">
        <f>INDEX(Master_Target!$B$2:$M$4, MATCH(J998, Master_Target!$A$2:$A$4, 0), MATCH(TEXT(B998, "[$-421]mmmm"), Master_Target!$B$1:$M$1, 0))</f>
        <v>35000000</v>
      </c>
    </row>
    <row r="999" spans="1:13" x14ac:dyDescent="0.25">
      <c r="A999" s="7" t="s">
        <v>1008</v>
      </c>
      <c r="B999" s="11" t="s">
        <v>1346</v>
      </c>
      <c r="C999" s="7">
        <f t="shared" si="60"/>
        <v>12</v>
      </c>
      <c r="D999" s="7" t="str">
        <f t="shared" si="61"/>
        <v>Dec</v>
      </c>
      <c r="E999" s="7" t="s">
        <v>1352</v>
      </c>
      <c r="F999" s="7" t="str">
        <f t="shared" si="62"/>
        <v>Ahmad Fauzi</v>
      </c>
      <c r="G999" s="7" t="s">
        <v>1361</v>
      </c>
      <c r="H999" s="7" t="s">
        <v>1362</v>
      </c>
      <c r="I999" s="7">
        <v>1</v>
      </c>
      <c r="J999" s="7" t="str">
        <f>INDEX(Master_Produk!$C$2:$C$11,MATCH(H999,Master_Produk!$A$2:$A$11,0))</f>
        <v>Pakaian</v>
      </c>
      <c r="K999" s="8">
        <f>INDEX(Master_Produk!$E$2:$E$11,MATCH(Data_Transaksi!H999,Master_Produk!$A$2:$A$11,0))</f>
        <v>350000</v>
      </c>
      <c r="L999" s="8">
        <f t="shared" si="63"/>
        <v>350000</v>
      </c>
      <c r="M999" s="8">
        <f>INDEX(Master_Target!$B$2:$M$4, MATCH(J999, Master_Target!$A$2:$A$4, 0), MATCH(TEXT(B999, "[$-421]mmmm"), Master_Target!$B$1:$M$1, 0))</f>
        <v>35000000</v>
      </c>
    </row>
    <row r="1000" spans="1:13" x14ac:dyDescent="0.25">
      <c r="A1000" s="7" t="s">
        <v>1009</v>
      </c>
      <c r="B1000" s="11" t="s">
        <v>1346</v>
      </c>
      <c r="C1000" s="7">
        <f t="shared" si="60"/>
        <v>12</v>
      </c>
      <c r="D1000" s="7" t="str">
        <f t="shared" si="61"/>
        <v>Dec</v>
      </c>
      <c r="E1000" s="7" t="s">
        <v>1349</v>
      </c>
      <c r="F1000" s="7" t="str">
        <f t="shared" si="62"/>
        <v>Dewi Lestari</v>
      </c>
      <c r="G1000" s="7" t="s">
        <v>1361</v>
      </c>
      <c r="H1000" s="7" t="s">
        <v>1362</v>
      </c>
      <c r="I1000" s="7">
        <v>5</v>
      </c>
      <c r="J1000" s="7" t="str">
        <f>INDEX(Master_Produk!$C$2:$C$11,MATCH(H1000,Master_Produk!$A$2:$A$11,0))</f>
        <v>Pakaian</v>
      </c>
      <c r="K1000" s="8">
        <f>INDEX(Master_Produk!$E$2:$E$11,MATCH(Data_Transaksi!H1000,Master_Produk!$A$2:$A$11,0))</f>
        <v>350000</v>
      </c>
      <c r="L1000" s="8">
        <f t="shared" si="63"/>
        <v>1750000</v>
      </c>
      <c r="M1000" s="8">
        <f>INDEX(Master_Target!$B$2:$M$4, MATCH(J1000, Master_Target!$A$2:$A$4, 0), MATCH(TEXT(B1000, "[$-421]mmmm"), Master_Target!$B$1:$M$1, 0))</f>
        <v>35000000</v>
      </c>
    </row>
    <row r="1001" spans="1:13" x14ac:dyDescent="0.25">
      <c r="A1001" s="7" t="s">
        <v>1010</v>
      </c>
      <c r="B1001" s="11" t="s">
        <v>1346</v>
      </c>
      <c r="C1001" s="7">
        <f t="shared" si="60"/>
        <v>12</v>
      </c>
      <c r="D1001" s="7" t="str">
        <f t="shared" si="61"/>
        <v>Dec</v>
      </c>
      <c r="E1001" s="7" t="s">
        <v>1348</v>
      </c>
      <c r="F1001" s="7" t="str">
        <f t="shared" si="62"/>
        <v>Budi Santoso</v>
      </c>
      <c r="G1001" s="7" t="s">
        <v>1361</v>
      </c>
      <c r="H1001" s="7" t="s">
        <v>1369</v>
      </c>
      <c r="I1001" s="7">
        <v>2</v>
      </c>
      <c r="J1001" s="7" t="str">
        <f>INDEX(Master_Produk!$C$2:$C$11,MATCH(H1001,Master_Produk!$A$2:$A$11,0))</f>
        <v>Elektronik</v>
      </c>
      <c r="K1001" s="8">
        <f>INDEX(Master_Produk!$E$2:$E$11,MATCH(Data_Transaksi!H1001,Master_Produk!$A$2:$A$11,0))</f>
        <v>4500000</v>
      </c>
      <c r="L1001" s="8">
        <f t="shared" si="63"/>
        <v>9000000</v>
      </c>
      <c r="M1001" s="8">
        <f>INDEX(Master_Target!$B$2:$M$4, MATCH(J1001, Master_Target!$A$2:$A$4, 0), MATCH(TEXT(B1001, "[$-421]mmmm"), Master_Target!$B$1:$M$1, 0))</f>
        <v>110000000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11"/>
  <sheetViews>
    <sheetView workbookViewId="0">
      <selection activeCell="H3" sqref="H3"/>
    </sheetView>
  </sheetViews>
  <sheetFormatPr defaultRowHeight="15" x14ac:dyDescent="0.25"/>
  <cols>
    <col min="1" max="1" width="9" bestFit="1" customWidth="1"/>
    <col min="2" max="2" width="19.5703125" bestFit="1" customWidth="1"/>
    <col min="3" max="3" width="10" bestFit="1" customWidth="1"/>
    <col min="4" max="4" width="11.42578125" bestFit="1" customWidth="1"/>
    <col min="5" max="5" width="13" customWidth="1"/>
  </cols>
  <sheetData>
    <row r="1" spans="1:37" s="1" customFormat="1" ht="20.100000000000001" customHeight="1" x14ac:dyDescent="0.25">
      <c r="A1" s="5" t="s">
        <v>5</v>
      </c>
      <c r="B1" s="5" t="s">
        <v>1372</v>
      </c>
      <c r="C1" s="5" t="s">
        <v>7</v>
      </c>
      <c r="D1" s="6" t="s">
        <v>1373</v>
      </c>
      <c r="E1" s="6" t="s">
        <v>1374</v>
      </c>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row>
    <row r="2" spans="1:37" x14ac:dyDescent="0.25">
      <c r="A2" s="7" t="s">
        <v>1366</v>
      </c>
      <c r="B2" s="7" t="s">
        <v>1375</v>
      </c>
      <c r="C2" s="7" t="s">
        <v>1385</v>
      </c>
      <c r="D2" s="8">
        <v>5000000</v>
      </c>
      <c r="E2" s="8">
        <v>7500000</v>
      </c>
    </row>
    <row r="3" spans="1:37" x14ac:dyDescent="0.25">
      <c r="A3" s="7" t="s">
        <v>1369</v>
      </c>
      <c r="B3" s="7" t="s">
        <v>1376</v>
      </c>
      <c r="C3" s="7" t="s">
        <v>1385</v>
      </c>
      <c r="D3" s="8">
        <v>3000000</v>
      </c>
      <c r="E3" s="8">
        <v>4500000</v>
      </c>
    </row>
    <row r="4" spans="1:37" x14ac:dyDescent="0.25">
      <c r="A4" s="7" t="s">
        <v>1370</v>
      </c>
      <c r="B4" s="7" t="s">
        <v>1377</v>
      </c>
      <c r="C4" s="7" t="s">
        <v>1386</v>
      </c>
      <c r="D4" s="8">
        <v>800000</v>
      </c>
      <c r="E4" s="8">
        <v>1200000</v>
      </c>
    </row>
    <row r="5" spans="1:37" x14ac:dyDescent="0.25">
      <c r="A5" s="7" t="s">
        <v>1364</v>
      </c>
      <c r="B5" s="7" t="s">
        <v>1378</v>
      </c>
      <c r="C5" s="7" t="s">
        <v>1386</v>
      </c>
      <c r="D5" s="8">
        <v>600000</v>
      </c>
      <c r="E5" s="8">
        <v>950000</v>
      </c>
    </row>
    <row r="6" spans="1:37" x14ac:dyDescent="0.25">
      <c r="A6" s="7" t="s">
        <v>1363</v>
      </c>
      <c r="B6" s="7" t="s">
        <v>1379</v>
      </c>
      <c r="C6" s="7" t="s">
        <v>1387</v>
      </c>
      <c r="D6" s="8">
        <v>150000</v>
      </c>
      <c r="E6" s="8">
        <v>250000</v>
      </c>
    </row>
    <row r="7" spans="1:37" x14ac:dyDescent="0.25">
      <c r="A7" s="7" t="s">
        <v>1371</v>
      </c>
      <c r="B7" s="7" t="s">
        <v>1380</v>
      </c>
      <c r="C7" s="7" t="s">
        <v>1387</v>
      </c>
      <c r="D7" s="8">
        <v>180000</v>
      </c>
      <c r="E7" s="8">
        <v>280000</v>
      </c>
    </row>
    <row r="8" spans="1:37" x14ac:dyDescent="0.25">
      <c r="A8" s="7" t="s">
        <v>1365</v>
      </c>
      <c r="B8" s="7" t="s">
        <v>1381</v>
      </c>
      <c r="C8" s="7" t="s">
        <v>1385</v>
      </c>
      <c r="D8" s="8">
        <v>1200000</v>
      </c>
      <c r="E8" s="8">
        <v>1800000</v>
      </c>
    </row>
    <row r="9" spans="1:37" x14ac:dyDescent="0.25">
      <c r="A9" s="7" t="s">
        <v>1367</v>
      </c>
      <c r="B9" s="7" t="s">
        <v>1382</v>
      </c>
      <c r="C9" s="7" t="s">
        <v>1385</v>
      </c>
      <c r="D9" s="8">
        <v>150000</v>
      </c>
      <c r="E9" s="8">
        <v>250000</v>
      </c>
    </row>
    <row r="10" spans="1:37" x14ac:dyDescent="0.25">
      <c r="A10" s="7" t="s">
        <v>1368</v>
      </c>
      <c r="B10" s="7" t="s">
        <v>1383</v>
      </c>
      <c r="C10" s="7" t="s">
        <v>1386</v>
      </c>
      <c r="D10" s="8">
        <v>400000</v>
      </c>
      <c r="E10" s="8">
        <v>650000</v>
      </c>
    </row>
    <row r="11" spans="1:37" x14ac:dyDescent="0.25">
      <c r="A11" s="7" t="s">
        <v>1362</v>
      </c>
      <c r="B11" s="7" t="s">
        <v>1384</v>
      </c>
      <c r="C11" s="7" t="s">
        <v>1387</v>
      </c>
      <c r="D11" s="8">
        <v>200000</v>
      </c>
      <c r="E11" s="8">
        <v>350000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F4"/>
  <sheetViews>
    <sheetView workbookViewId="0">
      <selection activeCell="H8" sqref="H8"/>
    </sheetView>
  </sheetViews>
  <sheetFormatPr defaultRowHeight="15" x14ac:dyDescent="0.25"/>
  <cols>
    <col min="1" max="1" width="10" bestFit="1" customWidth="1"/>
    <col min="2" max="11" width="12.42578125" bestFit="1" customWidth="1"/>
    <col min="12" max="13" width="13.5703125" bestFit="1" customWidth="1"/>
  </cols>
  <sheetData>
    <row r="1" spans="1:214" s="1" customFormat="1" ht="20.100000000000001" customHeight="1" x14ac:dyDescent="0.25">
      <c r="A1" s="5" t="s">
        <v>7</v>
      </c>
      <c r="B1" s="5" t="s">
        <v>1388</v>
      </c>
      <c r="C1" s="5" t="s">
        <v>1389</v>
      </c>
      <c r="D1" s="5" t="s">
        <v>1390</v>
      </c>
      <c r="E1" s="5" t="s">
        <v>1391</v>
      </c>
      <c r="F1" s="5" t="s">
        <v>1392</v>
      </c>
      <c r="G1" s="5" t="s">
        <v>1393</v>
      </c>
      <c r="H1" s="5" t="s">
        <v>1394</v>
      </c>
      <c r="I1" s="5" t="s">
        <v>1395</v>
      </c>
      <c r="J1" s="5" t="s">
        <v>1396</v>
      </c>
      <c r="K1" s="5" t="s">
        <v>1397</v>
      </c>
      <c r="L1" s="5" t="s">
        <v>1398</v>
      </c>
      <c r="M1" s="5" t="s">
        <v>1399</v>
      </c>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c r="DZ1" s="4"/>
      <c r="EA1" s="4"/>
      <c r="EB1" s="4"/>
      <c r="EC1" s="4"/>
      <c r="ED1" s="4"/>
      <c r="EE1" s="4"/>
      <c r="EF1" s="4"/>
      <c r="EG1" s="4"/>
      <c r="EH1" s="4"/>
      <c r="EI1" s="4"/>
      <c r="EJ1" s="4"/>
      <c r="EK1" s="4"/>
      <c r="EL1" s="4"/>
      <c r="EM1" s="4"/>
      <c r="EN1" s="4"/>
      <c r="EO1" s="4"/>
      <c r="EP1" s="4"/>
      <c r="EQ1" s="4"/>
      <c r="ER1" s="4"/>
      <c r="ES1" s="4"/>
      <c r="ET1" s="4"/>
      <c r="EU1" s="4"/>
      <c r="EV1" s="4"/>
      <c r="EW1" s="4"/>
      <c r="EX1" s="4"/>
      <c r="EY1" s="4"/>
      <c r="EZ1" s="4"/>
      <c r="FA1" s="4"/>
      <c r="FB1" s="4"/>
      <c r="FC1" s="4"/>
      <c r="FD1" s="4"/>
      <c r="FE1" s="4"/>
      <c r="FF1" s="4"/>
      <c r="FG1" s="4"/>
      <c r="FH1" s="4"/>
      <c r="FI1" s="4"/>
      <c r="FJ1" s="4"/>
      <c r="FK1" s="4"/>
      <c r="FL1" s="4"/>
      <c r="FM1" s="4"/>
      <c r="FN1" s="4"/>
      <c r="FO1" s="4"/>
      <c r="FP1" s="4"/>
      <c r="FQ1" s="4"/>
      <c r="FR1" s="4"/>
      <c r="FS1" s="4"/>
      <c r="FT1" s="4"/>
      <c r="FU1" s="4"/>
      <c r="FV1" s="4"/>
      <c r="FW1" s="4"/>
      <c r="FX1" s="4"/>
      <c r="FY1" s="4"/>
      <c r="FZ1" s="4"/>
      <c r="GA1" s="4"/>
      <c r="GB1" s="4"/>
      <c r="GC1" s="4"/>
      <c r="GD1" s="4"/>
      <c r="GE1" s="4"/>
      <c r="GF1" s="4"/>
      <c r="GG1" s="4"/>
      <c r="GH1" s="4"/>
      <c r="GI1" s="4"/>
      <c r="GJ1" s="4"/>
      <c r="GK1" s="4"/>
      <c r="GL1" s="4"/>
      <c r="GM1" s="4"/>
      <c r="GN1" s="4"/>
      <c r="GO1" s="4"/>
      <c r="GP1" s="4"/>
      <c r="GQ1" s="4"/>
      <c r="GR1" s="4"/>
      <c r="GS1" s="4"/>
      <c r="GT1" s="4"/>
      <c r="GU1" s="4"/>
      <c r="GV1" s="4"/>
      <c r="GW1" s="4"/>
      <c r="GX1" s="4"/>
      <c r="GY1" s="4"/>
      <c r="GZ1" s="4"/>
      <c r="HA1" s="4"/>
      <c r="HB1" s="4"/>
      <c r="HC1" s="4"/>
      <c r="HD1" s="4"/>
      <c r="HE1" s="4"/>
      <c r="HF1" s="4"/>
    </row>
    <row r="2" spans="1:214" x14ac:dyDescent="0.25">
      <c r="A2" s="7" t="s">
        <v>1385</v>
      </c>
      <c r="B2" s="8">
        <v>50000000</v>
      </c>
      <c r="C2" s="8">
        <v>55000000</v>
      </c>
      <c r="D2" s="8">
        <v>60000000</v>
      </c>
      <c r="E2" s="8">
        <v>65000000</v>
      </c>
      <c r="F2" s="8">
        <v>70000000</v>
      </c>
      <c r="G2" s="8">
        <v>75000000</v>
      </c>
      <c r="H2" s="8">
        <v>80000000</v>
      </c>
      <c r="I2" s="8">
        <v>85000000</v>
      </c>
      <c r="J2" s="8">
        <v>90000000</v>
      </c>
      <c r="K2" s="8">
        <v>95000000</v>
      </c>
      <c r="L2" s="8">
        <v>100000000</v>
      </c>
      <c r="M2" s="8">
        <v>110000000</v>
      </c>
    </row>
    <row r="3" spans="1:214" x14ac:dyDescent="0.25">
      <c r="A3" s="7" t="s">
        <v>1386</v>
      </c>
      <c r="B3" s="8">
        <v>20000000</v>
      </c>
      <c r="C3" s="8">
        <v>22000000</v>
      </c>
      <c r="D3" s="8">
        <v>24000000</v>
      </c>
      <c r="E3" s="8">
        <v>26000000</v>
      </c>
      <c r="F3" s="8">
        <v>28000000</v>
      </c>
      <c r="G3" s="8">
        <v>30000000</v>
      </c>
      <c r="H3" s="8">
        <v>32000000</v>
      </c>
      <c r="I3" s="8">
        <v>34000000</v>
      </c>
      <c r="J3" s="8">
        <v>36000000</v>
      </c>
      <c r="K3" s="8">
        <v>38000000</v>
      </c>
      <c r="L3" s="8">
        <v>40000000</v>
      </c>
      <c r="M3" s="8">
        <v>45000000</v>
      </c>
    </row>
    <row r="4" spans="1:214" x14ac:dyDescent="0.25">
      <c r="A4" s="7" t="s">
        <v>1387</v>
      </c>
      <c r="B4" s="8">
        <v>15000000</v>
      </c>
      <c r="C4" s="8">
        <v>16500000</v>
      </c>
      <c r="D4" s="8">
        <v>18000000</v>
      </c>
      <c r="E4" s="8">
        <v>19500000</v>
      </c>
      <c r="F4" s="8">
        <v>21000000</v>
      </c>
      <c r="G4" s="8">
        <v>22500000</v>
      </c>
      <c r="H4" s="8">
        <v>24000000</v>
      </c>
      <c r="I4" s="8">
        <v>25500000</v>
      </c>
      <c r="J4" s="8">
        <v>27000000</v>
      </c>
      <c r="K4" s="8">
        <v>28500000</v>
      </c>
      <c r="L4" s="8">
        <v>30000000</v>
      </c>
      <c r="M4" s="8">
        <v>35000000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BFD65-2937-4865-AC2D-7FD618FAA0FB}">
  <dimension ref="A2:H21"/>
  <sheetViews>
    <sheetView zoomScale="85" zoomScaleNormal="85" workbookViewId="0">
      <selection activeCell="P19" sqref="P19"/>
    </sheetView>
  </sheetViews>
  <sheetFormatPr defaultRowHeight="15" x14ac:dyDescent="0.25"/>
  <cols>
    <col min="1" max="2" width="20.5703125" bestFit="1" customWidth="1"/>
    <col min="6" max="6" width="13.28515625" bestFit="1" customWidth="1"/>
    <col min="7" max="7" width="20.5703125" bestFit="1" customWidth="1"/>
    <col min="8" max="8" width="32.7109375" bestFit="1" customWidth="1"/>
    <col min="10" max="10" width="13.140625" bestFit="1" customWidth="1"/>
    <col min="11" max="11" width="20.5703125" bestFit="1" customWidth="1"/>
    <col min="12" max="12" width="32.7109375" bestFit="1" customWidth="1"/>
  </cols>
  <sheetData>
    <row r="2" spans="1:8" x14ac:dyDescent="0.25">
      <c r="A2" s="13"/>
      <c r="B2" s="13"/>
      <c r="C2" s="13"/>
      <c r="F2" s="9" t="s">
        <v>1400</v>
      </c>
      <c r="G2" t="s">
        <v>1402</v>
      </c>
      <c r="H2" t="s">
        <v>1404</v>
      </c>
    </row>
    <row r="3" spans="1:8" x14ac:dyDescent="0.25">
      <c r="A3" s="9" t="s">
        <v>1400</v>
      </c>
      <c r="B3" t="s">
        <v>1402</v>
      </c>
      <c r="F3" s="10" t="s">
        <v>1387</v>
      </c>
      <c r="G3" s="2">
        <v>191350000</v>
      </c>
      <c r="H3" s="14">
        <v>646</v>
      </c>
    </row>
    <row r="4" spans="1:8" x14ac:dyDescent="0.25">
      <c r="A4" s="10" t="s">
        <v>1407</v>
      </c>
      <c r="B4" s="2">
        <v>251480000</v>
      </c>
      <c r="F4" s="10" t="s">
        <v>1386</v>
      </c>
      <c r="G4" s="2">
        <v>637750000</v>
      </c>
      <c r="H4" s="14">
        <v>700</v>
      </c>
    </row>
    <row r="5" spans="1:8" x14ac:dyDescent="0.25">
      <c r="A5" s="10" t="s">
        <v>1408</v>
      </c>
      <c r="B5" s="2">
        <v>336120000</v>
      </c>
      <c r="F5" s="10" t="s">
        <v>1385</v>
      </c>
      <c r="G5" s="2">
        <v>2939050000</v>
      </c>
      <c r="H5" s="14">
        <v>909</v>
      </c>
    </row>
    <row r="6" spans="1:8" x14ac:dyDescent="0.25">
      <c r="A6" s="10" t="s">
        <v>1409</v>
      </c>
      <c r="B6" s="2">
        <v>123770000</v>
      </c>
      <c r="F6" s="10" t="s">
        <v>1401</v>
      </c>
      <c r="G6" s="2">
        <v>3768150000</v>
      </c>
      <c r="H6" s="14">
        <v>2255</v>
      </c>
    </row>
    <row r="7" spans="1:8" x14ac:dyDescent="0.25">
      <c r="A7" s="10" t="s">
        <v>1410</v>
      </c>
      <c r="B7" s="2">
        <v>312330000</v>
      </c>
    </row>
    <row r="8" spans="1:8" x14ac:dyDescent="0.25">
      <c r="A8" s="10" t="s">
        <v>1411</v>
      </c>
      <c r="B8" s="2">
        <v>407400000</v>
      </c>
      <c r="F8" s="9" t="s">
        <v>1400</v>
      </c>
      <c r="G8" t="s">
        <v>1402</v>
      </c>
    </row>
    <row r="9" spans="1:8" x14ac:dyDescent="0.25">
      <c r="A9" s="10" t="s">
        <v>1412</v>
      </c>
      <c r="B9" s="2">
        <v>352550000</v>
      </c>
      <c r="F9" s="10" t="s">
        <v>1361</v>
      </c>
      <c r="G9" s="2">
        <v>815170000</v>
      </c>
    </row>
    <row r="10" spans="1:8" x14ac:dyDescent="0.25">
      <c r="A10" s="10" t="s">
        <v>1413</v>
      </c>
      <c r="B10" s="2">
        <v>273090000</v>
      </c>
      <c r="F10" s="10" t="s">
        <v>1357</v>
      </c>
      <c r="G10" s="2">
        <v>811280000</v>
      </c>
    </row>
    <row r="11" spans="1:8" x14ac:dyDescent="0.25">
      <c r="A11" s="10" t="s">
        <v>1414</v>
      </c>
      <c r="B11" s="2">
        <v>416330000</v>
      </c>
      <c r="F11" s="10" t="s">
        <v>1358</v>
      </c>
      <c r="G11" s="2">
        <v>734830000</v>
      </c>
    </row>
    <row r="12" spans="1:8" x14ac:dyDescent="0.25">
      <c r="A12" s="10" t="s">
        <v>1415</v>
      </c>
      <c r="B12" s="2">
        <v>390010000</v>
      </c>
      <c r="F12" s="10" t="s">
        <v>1360</v>
      </c>
      <c r="G12" s="2">
        <v>727650000</v>
      </c>
    </row>
    <row r="13" spans="1:8" x14ac:dyDescent="0.25">
      <c r="A13" s="10" t="s">
        <v>1416</v>
      </c>
      <c r="B13" s="2">
        <v>273810000</v>
      </c>
      <c r="F13" s="10" t="s">
        <v>1359</v>
      </c>
      <c r="G13" s="2">
        <v>679220000</v>
      </c>
    </row>
    <row r="14" spans="1:8" x14ac:dyDescent="0.25">
      <c r="A14" s="10" t="s">
        <v>1417</v>
      </c>
      <c r="B14" s="2">
        <v>231780000</v>
      </c>
      <c r="F14" s="10" t="s">
        <v>1401</v>
      </c>
      <c r="G14" s="2">
        <v>3768150000</v>
      </c>
    </row>
    <row r="15" spans="1:8" x14ac:dyDescent="0.25">
      <c r="A15" s="10" t="s">
        <v>1418</v>
      </c>
      <c r="B15" s="2">
        <v>399480000</v>
      </c>
    </row>
    <row r="16" spans="1:8" x14ac:dyDescent="0.25">
      <c r="A16" s="10" t="s">
        <v>1401</v>
      </c>
      <c r="B16" s="2">
        <v>3768150000</v>
      </c>
    </row>
    <row r="17" spans="1:8" x14ac:dyDescent="0.25">
      <c r="F17" s="9" t="s">
        <v>1400</v>
      </c>
      <c r="G17" t="s">
        <v>1402</v>
      </c>
      <c r="H17" t="s">
        <v>1405</v>
      </c>
    </row>
    <row r="18" spans="1:8" x14ac:dyDescent="0.25">
      <c r="F18" s="10" t="s">
        <v>1385</v>
      </c>
      <c r="G18" s="2">
        <v>2939050000</v>
      </c>
      <c r="H18" s="2">
        <v>78924050.632911399</v>
      </c>
    </row>
    <row r="19" spans="1:8" x14ac:dyDescent="0.25">
      <c r="A19" t="s">
        <v>1402</v>
      </c>
      <c r="F19" s="10" t="s">
        <v>1386</v>
      </c>
      <c r="G19" s="2">
        <v>637750000</v>
      </c>
      <c r="H19" s="2">
        <v>31019801.980198018</v>
      </c>
    </row>
    <row r="20" spans="1:8" x14ac:dyDescent="0.25">
      <c r="A20" s="2">
        <v>3768150000</v>
      </c>
      <c r="F20" s="10" t="s">
        <v>1387</v>
      </c>
      <c r="G20" s="2">
        <v>191350000</v>
      </c>
      <c r="H20" s="2">
        <v>23514900.662251655</v>
      </c>
    </row>
    <row r="21" spans="1:8" x14ac:dyDescent="0.25">
      <c r="F21" s="10" t="s">
        <v>1401</v>
      </c>
      <c r="G21" s="2">
        <v>3768150000</v>
      </c>
      <c r="H21" s="2">
        <v>47675500</v>
      </c>
    </row>
  </sheetData>
  <mergeCells count="1">
    <mergeCell ref="A2:C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798FD-58E8-4DDB-978E-B378CA017F1A}">
  <dimension ref="A1"/>
  <sheetViews>
    <sheetView tabSelected="1" zoomScale="85" zoomScaleNormal="85" workbookViewId="0">
      <selection activeCell="T7" sqref="T7"/>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Data_Transaksi</vt:lpstr>
      <vt:lpstr>Master_Produk</vt:lpstr>
      <vt:lpstr>Master_Target</vt:lpstr>
      <vt:lpstr>PivotTable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Rifki Suryo</cp:lastModifiedBy>
  <dcterms:created xsi:type="dcterms:W3CDTF">2026-08-02T05:52:27Z</dcterms:created>
  <dcterms:modified xsi:type="dcterms:W3CDTF">2026-08-10T21:04:02Z</dcterms:modified>
</cp:coreProperties>
</file>